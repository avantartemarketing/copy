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Rules"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8" defaultRowHeight="15"/>
  <cols>
    <col width="24" customWidth="1" min="1" max="1"/>
    <col width="78" customWidth="1" min="2" max="2"/>
    <col width="60" customWidth="1" min="3" max="3"/>
  </cols>
  <sheetData>
    <row r="1">
      <c r="A1" s="1" t="inlineStr">
        <is>
          <t>Instagram set · inputs for one release</t>
        </is>
      </c>
    </row>
    <row r="2">
      <c r="A2" s="2" t="inlineStr">
        <is>
          <t>Blue cells on yellow are yours to fill. Everything else in this workbook is a formula. Change mechanic to draw to see the draw set.</t>
        </is>
      </c>
    </row>
    <row r="3">
      <c r="A3" s="3" t="inlineStr">
        <is>
          <t>Field</t>
        </is>
      </c>
      <c r="B3" s="3" t="inlineStr">
        <is>
          <t>Value</t>
        </is>
      </c>
      <c r="C3" s="3" t="inlineStr">
        <is>
          <t>What it is</t>
        </is>
      </c>
    </row>
    <row r="4">
      <c r="A4" s="4" t="inlineStr">
        <is>
          <t>artist</t>
        </is>
      </c>
      <c r="B4" s="5" t="inlineStr">
        <is>
          <t>Grayson Perry</t>
        </is>
      </c>
      <c r="C4" s="2" t="inlineStr">
        <is>
          <t>full name</t>
        </is>
      </c>
    </row>
    <row r="5">
      <c r="A5" s="4" t="inlineStr">
        <is>
          <t>handle</t>
        </is>
      </c>
      <c r="B5" s="5" t="inlineStr">
        <is>
          <t>alanmeasles</t>
        </is>
      </c>
      <c r="C5" s="2" t="inlineStr">
        <is>
          <t>Instagram handle, blank if none</t>
        </is>
      </c>
    </row>
    <row r="6">
      <c r="A6" s="4" t="inlineStr">
        <is>
          <t>hashtag</t>
        </is>
      </c>
      <c r="B6" s="5" t="inlineStr">
        <is>
          <t>GraysonPerry</t>
        </is>
      </c>
      <c r="C6" s="2" t="inlineStr">
        <is>
          <t>used on the announcement only; blank for none</t>
        </is>
      </c>
    </row>
    <row r="7">
      <c r="A7" s="4" t="inlineStr">
        <is>
          <t>ordinal</t>
        </is>
      </c>
      <c r="B7" s="5" t="inlineStr">
        <is>
          <t>latest</t>
        </is>
      </c>
      <c r="C7" s="2" t="inlineStr">
        <is>
          <t>debut, latest or second</t>
        </is>
      </c>
    </row>
    <row r="8">
      <c r="A8" s="4" t="inlineStr">
        <is>
          <t>title</t>
        </is>
      </c>
      <c r="B8" s="5" t="inlineStr">
        <is>
          <t>The Changeling</t>
        </is>
      </c>
      <c r="C8" s="2" t="inlineStr">
        <is>
          <t>exactly as it appears; for a series with one shared title, give the series name</t>
        </is>
      </c>
    </row>
    <row r="9">
      <c r="A9" s="4" t="inlineStr">
        <is>
          <t>is_series</t>
        </is>
      </c>
      <c r="B9" s="5" t="inlineStr">
        <is>
          <t>no</t>
        </is>
      </c>
      <c r="C9" s="2" t="inlineStr">
        <is>
          <t>yes when the works share one title</t>
        </is>
      </c>
    </row>
    <row r="10">
      <c r="A10" s="4" t="inlineStr">
        <is>
          <t>edition_phrase</t>
        </is>
      </c>
      <c r="B10" s="5" t="inlineStr">
        <is>
          <t>a new limited edition print</t>
        </is>
      </c>
      <c r="C10" s="2" t="inlineStr">
        <is>
          <t>e.g. a trio of limited edition prints; six new limited edition prints</t>
        </is>
      </c>
    </row>
    <row r="11">
      <c r="A11" s="4" t="inlineStr">
        <is>
          <t>works</t>
        </is>
      </c>
      <c r="B11" s="5" t="n">
        <v>1</v>
      </c>
      <c r="C11" s="2" t="inlineStr">
        <is>
          <t>number of works</t>
        </is>
      </c>
    </row>
    <row r="12">
      <c r="A12" s="4" t="inlineStr">
        <is>
          <t>mechanic</t>
        </is>
      </c>
      <c r="B12" s="5" t="inlineStr">
        <is>
          <t>timed</t>
        </is>
      </c>
      <c r="C12" s="2" t="inlineStr">
        <is>
          <t>timed or draw</t>
        </is>
      </c>
    </row>
    <row r="13">
      <c r="A13" s="4" t="inlineStr">
        <is>
          <t>window</t>
        </is>
      </c>
      <c r="B13" s="5" t="inlineStr">
        <is>
          <t>one week</t>
        </is>
      </c>
      <c r="C13" s="2" t="inlineStr">
        <is>
          <t>48 hours or one week; timed only</t>
        </is>
      </c>
    </row>
    <row r="14">
      <c r="A14" s="4" t="inlineStr">
        <is>
          <t>launch_date</t>
        </is>
      </c>
      <c r="B14" s="5" t="inlineStr">
        <is>
          <t>30 April</t>
        </is>
      </c>
      <c r="C14" s="2" t="inlineStr">
        <is>
          <t>day and month, no ordinal</t>
        </is>
      </c>
    </row>
    <row r="15">
      <c r="A15" s="4" t="inlineStr">
        <is>
          <t>launch_time</t>
        </is>
      </c>
      <c r="B15" s="5" t="inlineStr">
        <is>
          <t>14:00 UK time</t>
        </is>
      </c>
      <c r="C15" s="2" t="inlineStr">
        <is>
          <t>24-hour, always UK time</t>
        </is>
      </c>
    </row>
    <row r="16">
      <c r="A16" s="4" t="inlineStr">
        <is>
          <t>close_date</t>
        </is>
      </c>
      <c r="B16" s="5" t="inlineStr">
        <is>
          <t>7 May</t>
        </is>
      </c>
      <c r="C16" s="2" t="inlineStr"/>
    </row>
    <row r="17">
      <c r="A17" s="4" t="inlineStr">
        <is>
          <t>close_time</t>
        </is>
      </c>
      <c r="B17" s="5" t="inlineStr">
        <is>
          <t>14:00 UK time</t>
        </is>
      </c>
      <c r="C17" s="2" t="inlineStr"/>
    </row>
    <row r="18">
      <c r="A18" s="4" t="inlineStr">
        <is>
          <t>beneficiary</t>
        </is>
      </c>
      <c r="B18" s="5" t="inlineStr">
        <is>
          <t>the Foundling Museum</t>
        </is>
      </c>
      <c r="C18" s="2" t="inlineStr">
        <is>
          <t>blank if none</t>
        </is>
      </c>
    </row>
    <row r="19">
      <c r="A19" s="4" t="inlineStr">
        <is>
          <t>beneficiary_handle</t>
        </is>
      </c>
      <c r="B19" s="5" t="inlineStr">
        <is>
          <t>foundlingmuseum</t>
        </is>
      </c>
      <c r="C19" s="2" t="inlineStr">
        <is>
          <t>blank if none</t>
        </is>
      </c>
    </row>
    <row r="20">
      <c r="A20" s="4" t="inlineStr">
        <is>
          <t>feature_1</t>
        </is>
      </c>
      <c r="B20" s="5" t="inlineStr">
        <is>
          <t>Signed by the artist</t>
        </is>
      </c>
      <c r="C20" s="2" t="inlineStr">
        <is>
          <t>the standard three; clear a cell to drop it</t>
        </is>
      </c>
    </row>
    <row r="21">
      <c r="A21" s="4" t="inlineStr">
        <is>
          <t>feature_2</t>
        </is>
      </c>
      <c r="B21" s="5" t="inlineStr">
        <is>
          <t>Individually numbered</t>
        </is>
      </c>
      <c r="C21" s="2" t="inlineStr"/>
    </row>
    <row r="22">
      <c r="A22" s="4" t="inlineStr">
        <is>
          <t>feature_3</t>
        </is>
      </c>
      <c r="B22" s="5" t="inlineStr">
        <is>
          <t>Free worldwide shipping</t>
        </is>
      </c>
      <c r="C22" s="2" t="inlineStr"/>
    </row>
    <row r="23">
      <c r="A23" s="4" t="inlineStr">
        <is>
          <t>feature_4</t>
        </is>
      </c>
      <c r="B23" s="5" t="inlineStr"/>
      <c r="C23" s="2" t="inlineStr">
        <is>
          <t>bespoke, e.g. Hand-finished by the artist</t>
        </is>
      </c>
    </row>
    <row r="24">
      <c r="A24" s="4" t="inlineStr">
        <is>
          <t>feature_5</t>
        </is>
      </c>
      <c r="B24" s="5" t="inlineStr"/>
      <c r="C24" s="2" t="inlineStr">
        <is>
          <t>bespoke, e.g. Available individually or as a set</t>
        </is>
      </c>
    </row>
    <row r="26">
      <c r="A26" s="6" t="inlineStr">
        <is>
          <t>Fragments, written once per release</t>
        </is>
      </c>
    </row>
    <row r="27" ht="128" customHeight="1">
      <c r="A27" s="4" t="inlineStr">
        <is>
          <t>bio</t>
        </is>
      </c>
      <c r="B27" s="7" t="inlineStr">
        <is>
          <t>Grayson Perry has long been one of the most distinctive voices in contemporary British art.
Working across ceramics, tapestry, print and sculpture, his practice examines identity, class, and gender in modern society. Drawing on autobiography as well as social observation, Grayson often pairs the decorative language of traditional craft with direct commentary on the structures and contradictions that shape everyday life.</t>
        </is>
      </c>
      <c r="C27" s="8" t="inlineStr">
        <is>
          <t>2 to 3 sentences on the artist, third person, no handle. Coming Soon only.</t>
        </is>
      </c>
    </row>
    <row r="28" ht="48" customHeight="1">
      <c r="A28" s="4" t="inlineStr">
        <is>
          <t>hook</t>
        </is>
      </c>
      <c r="B28" s="7" t="inlineStr">
        <is>
          <t>The Changeling portrays a child as a symbol of modern youth, exploring how technology shapes today's generations. It reimagines changeling folklore for the digital age, and is intended to be 'quite disturbing'.</t>
        </is>
      </c>
      <c r="C28" s="8" t="inlineStr">
        <is>
          <t>1 to 2 sentences about the work only: no artist name, no we or our, so it also works in the artist's and partner's emails.</t>
        </is>
      </c>
    </row>
    <row r="29" ht="32" customHeight="1">
      <c r="A29" s="4" t="inlineStr">
        <is>
          <t>making</t>
        </is>
      </c>
      <c r="B29" s="7" t="inlineStr">
        <is>
          <t>To create the edition, printmakers at Make-Ready translated a new design into a 9-colour silkscreen, capturing the vivid detail of the original drawing.</t>
        </is>
      </c>
      <c r="C29" s="8" t="inlineStr">
        <is>
          <t>one sentence on how it was made, written as 'printmakers at Make-Ready'; the sheet adds 'our' and the tag.</t>
        </is>
      </c>
    </row>
    <row r="30" ht="32" customHeight="1">
      <c r="A30" s="4" t="inlineStr">
        <is>
          <t>quote</t>
        </is>
      </c>
      <c r="B30" s="7" t="inlineStr">
        <is>
          <t>Beauty and seriousness are perhaps the most shocking tactics left to artists these days.</t>
        </is>
      </c>
      <c r="C30" s="8" t="inlineStr">
        <is>
          <t>verbatim, a complete sentence, or blank to skip the second sustain post</t>
        </is>
      </c>
    </row>
    <row r="32">
      <c r="A32" s="6" t="inlineStr">
        <is>
          <t>Derived (formulas, do not edit)</t>
        </is>
      </c>
    </row>
    <row r="33">
      <c r="A33" s="4" t="inlineStr">
        <is>
          <t>named</t>
        </is>
      </c>
      <c r="B33" s="9">
        <f>$B$4&amp;IF($B$5="","", " (@"&amp;$B$5&amp;")")</f>
        <v/>
      </c>
      <c r="C33" s="2" t="inlineStr">
        <is>
          <t>artist with handle</t>
        </is>
      </c>
    </row>
    <row r="34">
      <c r="A34" s="4" t="inlineStr">
        <is>
          <t>work</t>
        </is>
      </c>
      <c r="B34" s="9">
        <f>IF($B$9="yes","the "&amp;$B$8&amp;" series","‘"&amp;$B$8&amp;"’")</f>
        <v/>
      </c>
      <c r="C34" s="2" t="inlineStr">
        <is>
          <t>the title in quotes, or the series</t>
        </is>
      </c>
    </row>
    <row r="35">
      <c r="A35" s="4" t="inlineStr">
        <is>
          <t>Work</t>
        </is>
      </c>
      <c r="B35" s="9">
        <f>UPPER(LEFT($B$34,1))&amp;MID($B$34,2,999)</f>
        <v/>
      </c>
      <c r="C35" s="2" t="inlineStr">
        <is>
          <t>the same, capitalised for the start of a sentence</t>
        </is>
      </c>
    </row>
    <row r="36">
      <c r="A36" s="4" t="inlineStr">
        <is>
          <t>beneficiary_tagged</t>
        </is>
      </c>
      <c r="B36" s="9">
        <f>IF($B$18="","",$B$18&amp;IF($B$19="",""," (@"&amp;$B$19&amp;")"))</f>
        <v/>
      </c>
      <c r="C36" s="2" t="inlineStr">
        <is>
          <t>beneficiary with handle</t>
        </is>
      </c>
    </row>
    <row r="37" ht="80" customHeight="1">
      <c r="A37" s="4" t="inlineStr">
        <is>
          <t>bio_tagged</t>
        </is>
      </c>
      <c r="B37" s="9">
        <f>IF($B$5="",$B$27,SUBSTITUTE($B$27,$B$4,$B$33,1))</f>
        <v/>
      </c>
      <c r="C37" s="2" t="inlineStr">
        <is>
          <t>the bio with the handle after the first mention of the name</t>
        </is>
      </c>
    </row>
    <row r="38" ht="48" customHeight="1">
      <c r="A38" s="4" t="inlineStr">
        <is>
          <t>hook_tagged</t>
        </is>
      </c>
      <c r="B38" s="9">
        <f>IF($B$36="",$B$28,SUBSTITUTE($B$28,$B$18,$B$36,1))</f>
        <v/>
      </c>
      <c r="C38" s="2" t="inlineStr">
        <is>
          <t>the hook with the beneficiary tagged, if it names one</t>
        </is>
      </c>
    </row>
    <row r="39">
      <c r="A39" s="4" t="inlineStr">
        <is>
          <t>features</t>
        </is>
      </c>
      <c r="B39" s="9">
        <f>$B$20&amp;IF($B$21="","",". "&amp;$B$21)&amp;IF($B$22="","",". "&amp;$B$22)&amp;IF($B$23="","",". "&amp;$B$23)&amp;IF($B$24="","",". "&amp;$B$24)&amp;"."</f>
        <v/>
      </c>
      <c r="C39" s="2" t="inlineStr">
        <is>
          <t>the features as one line, for the posts</t>
        </is>
      </c>
    </row>
    <row r="40">
      <c r="A40" s="4" t="inlineStr">
        <is>
          <t>making_ours</t>
        </is>
      </c>
      <c r="B40" s="9">
        <f>SUBSTITUTE($B$29,"printmakers at Make-Ready","our printmakers at Make-Ready (@make__ready)")</f>
        <v/>
      </c>
      <c r="C40" s="2" t="inlineStr">
        <is>
          <t>the making line in our voice, with the Make-Ready tag</t>
        </is>
      </c>
    </row>
    <row r="41">
      <c r="A41" s="4" t="inlineStr">
        <is>
          <t>hook_names_beneficiary</t>
        </is>
      </c>
      <c r="B41" s="9">
        <f>IF($B$18="",FALSE,ISNUMBER(SEARCH($B$18,$B$28)))</f>
        <v/>
      </c>
      <c r="C41" s="2" t="inlineStr">
        <is>
          <t>TRUE when the hook already names the beneficiary, so the edition line will not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30" customWidth="1" min="1" max="1"/>
    <col width="70" customWidth="1" min="2" max="2"/>
    <col width="70" customWidth="1" min="3" max="3"/>
  </cols>
  <sheetData>
    <row r="1">
      <c r="A1" s="1" t="inlineStr">
        <is>
          <t>The fixed sentences, with the placeholders they take</t>
        </is>
      </c>
    </row>
    <row r="2">
      <c r="A2" s="2" t="inlineStr">
        <is>
          <t>This is the whole system's copy. Edit a blue cell to change every future post. Column C fills the placeholders from Inputs.</t>
        </is>
      </c>
    </row>
    <row r="3">
      <c r="A3" s="3" t="inlineStr">
        <is>
          <t>Key</t>
        </is>
      </c>
      <c r="B3" s="3" t="inlineStr">
        <is>
          <t>Line, with placeholders</t>
        </is>
      </c>
      <c r="C3" s="3" t="inlineStr">
        <is>
          <t>Filled from Inputs</t>
        </is>
      </c>
    </row>
    <row r="4">
      <c r="A4" s="4" t="inlineStr">
        <is>
          <t>coming soon · status</t>
        </is>
      </c>
      <c r="B4" s="7" t="inlineStr">
        <is>
          <t>Our {ordinal} collaboration is on the horizon.</t>
        </is>
      </c>
      <c r="C4" s="9">
        <f>SUBSTITUTE(SUBSTITUTE(SUBSTITUTE(SUBSTITUTE(SUBSTITUTE(SUBSTITUTE(SUBSTITUTE(SUBSTITUTE(SUBSTITUTE(SUBSTITUTE(SUBSTITUTE(SUBSTITUTE(SUBSTITUTE(SUBSTITUTE(SUBSTITUTE(B4,"{artist}",Inputs!$B$4),"{named}",Inputs!$B$33),"{work}",Inputs!$B$34),"{Work}",Inputs!$B$35),"{edition_phrase}",Inputs!$B$10),"{ordinal}",Inputs!$B$7),"{window}",Inputs!$B$13),"{launch_date}",Inputs!$B$14),"{launch_time}",Inputs!$B$15),"{close_date}",Inputs!$B$16),"{close_time}",Inputs!$B$17),"{beneficiary_tagged}",Inputs!$B$36),"{quote}",Inputs!$B$30),"{hashtag}",Inputs!$B$6),"{features}",Inputs!$B$39)</f>
        <v/>
      </c>
    </row>
    <row r="5">
      <c r="A5" s="4" t="inlineStr">
        <is>
          <t>announce · status</t>
        </is>
      </c>
      <c r="B5" s="7" t="inlineStr">
        <is>
          <t>Announcing {work}, {edition_phrase} by {named}.</t>
        </is>
      </c>
      <c r="C5" s="9">
        <f>SUBSTITUTE(SUBSTITUTE(SUBSTITUTE(SUBSTITUTE(SUBSTITUTE(SUBSTITUTE(SUBSTITUTE(SUBSTITUTE(SUBSTITUTE(SUBSTITUTE(SUBSTITUTE(SUBSTITUTE(SUBSTITUTE(SUBSTITUTE(SUBSTITUTE(B5,"{artist}",Inputs!$B$4),"{named}",Inputs!$B$33),"{work}",Inputs!$B$34),"{Work}",Inputs!$B$35),"{edition_phrase}",Inputs!$B$10),"{ordinal}",Inputs!$B$7),"{window}",Inputs!$B$13),"{launch_date}",Inputs!$B$14),"{launch_time}",Inputs!$B$15),"{close_date}",Inputs!$B$16),"{close_time}",Inputs!$B$17),"{beneficiary_tagged}",Inputs!$B$36),"{quote}",Inputs!$B$30),"{hashtag}",Inputs!$B$6),"{features}",Inputs!$B$39)</f>
        <v/>
      </c>
    </row>
    <row r="6">
      <c r="A6" s="4" t="inlineStr">
        <is>
          <t>announce · status, series</t>
        </is>
      </c>
      <c r="B6" s="7" t="inlineStr">
        <is>
          <t>Announcing {edition_phrase} by {named}, from {work}.</t>
        </is>
      </c>
      <c r="C6" s="9">
        <f>SUBSTITUTE(SUBSTITUTE(SUBSTITUTE(SUBSTITUTE(SUBSTITUTE(SUBSTITUTE(SUBSTITUTE(SUBSTITUTE(SUBSTITUTE(SUBSTITUTE(SUBSTITUTE(SUBSTITUTE(SUBSTITUTE(SUBSTITUTE(SUBSTITUTE(B6,"{artist}",Inputs!$B$4),"{named}",Inputs!$B$33),"{work}",Inputs!$B$34),"{Work}",Inputs!$B$35),"{edition_phrase}",Inputs!$B$10),"{ordinal}",Inputs!$B$7),"{window}",Inputs!$B$13),"{launch_date}",Inputs!$B$14),"{launch_time}",Inputs!$B$15),"{close_date}",Inputs!$B$16),"{close_time}",Inputs!$B$17),"{beneficiary_tagged}",Inputs!$B$36),"{quote}",Inputs!$B$30),"{hashtag}",Inputs!$B$6),"{features}",Inputs!$B$39)</f>
        <v/>
      </c>
    </row>
    <row r="7">
      <c r="A7" s="4" t="inlineStr">
        <is>
          <t>sustain · status</t>
        </is>
      </c>
      <c r="B7" s="7" t="inlineStr">
        <is>
          <t>A closer look at {work}, {edition_phrase} by {named}.</t>
        </is>
      </c>
      <c r="C7" s="9">
        <f>SUBSTITUTE(SUBSTITUTE(SUBSTITUTE(SUBSTITUTE(SUBSTITUTE(SUBSTITUTE(SUBSTITUTE(SUBSTITUTE(SUBSTITUTE(SUBSTITUTE(SUBSTITUTE(SUBSTITUTE(SUBSTITUTE(SUBSTITUTE(SUBSTITUTE(B7,"{artist}",Inputs!$B$4),"{named}",Inputs!$B$33),"{work}",Inputs!$B$34),"{Work}",Inputs!$B$35),"{edition_phrase}",Inputs!$B$10),"{ordinal}",Inputs!$B$7),"{window}",Inputs!$B$13),"{launch_date}",Inputs!$B$14),"{launch_time}",Inputs!$B$15),"{close_date}",Inputs!$B$16),"{close_time}",Inputs!$B$17),"{beneficiary_tagged}",Inputs!$B$36),"{quote}",Inputs!$B$30),"{hashtag}",Inputs!$B$6),"{features}",Inputs!$B$39)</f>
        <v/>
      </c>
    </row>
    <row r="8">
      <c r="A8" s="4" t="inlineStr">
        <is>
          <t>artist's words · status</t>
        </is>
      </c>
      <c r="B8" s="7" t="inlineStr">
        <is>
          <t>“{quote}” – {artist}</t>
        </is>
      </c>
      <c r="C8" s="9">
        <f>SUBSTITUTE(SUBSTITUTE(SUBSTITUTE(SUBSTITUTE(SUBSTITUTE(SUBSTITUTE(SUBSTITUTE(SUBSTITUTE(SUBSTITUTE(SUBSTITUTE(SUBSTITUTE(SUBSTITUTE(SUBSTITUTE(SUBSTITUTE(SUBSTITUTE(B8,"{artist}",Inputs!$B$4),"{named}",Inputs!$B$33),"{work}",Inputs!$B$34),"{Work}",Inputs!$B$35),"{edition_phrase}",Inputs!$B$10),"{ordinal}",Inputs!$B$7),"{window}",Inputs!$B$13),"{launch_date}",Inputs!$B$14),"{launch_time}",Inputs!$B$15),"{close_date}",Inputs!$B$16),"{close_time}",Inputs!$B$17),"{beneficiary_tagged}",Inputs!$B$36),"{quote}",Inputs!$B$30),"{hashtag}",Inputs!$B$6),"{features}",Inputs!$B$39)</f>
        <v/>
      </c>
    </row>
    <row r="9">
      <c r="A9" s="4" t="inlineStr">
        <is>
          <t>artist's words · second line</t>
        </is>
      </c>
      <c r="B9" s="7" t="inlineStr">
        <is>
          <t>{Work}, {edition_phrase} by {named}.</t>
        </is>
      </c>
      <c r="C9" s="9">
        <f>SUBSTITUTE(SUBSTITUTE(SUBSTITUTE(SUBSTITUTE(SUBSTITUTE(SUBSTITUTE(SUBSTITUTE(SUBSTITUTE(SUBSTITUTE(SUBSTITUTE(SUBSTITUTE(SUBSTITUTE(SUBSTITUTE(SUBSTITUTE(SUBSTITUTE(B9,"{artist}",Inputs!$B$4),"{named}",Inputs!$B$33),"{work}",Inputs!$B$34),"{Work}",Inputs!$B$35),"{edition_phrase}",Inputs!$B$10),"{ordinal}",Inputs!$B$7),"{window}",Inputs!$B$13),"{launch_date}",Inputs!$B$14),"{launch_time}",Inputs!$B$15),"{close_date}",Inputs!$B$16),"{close_time}",Inputs!$B$17),"{beneficiary_tagged}",Inputs!$B$36),"{quote}",Inputs!$B$30),"{hashtag}",Inputs!$B$6),"{features}",Inputs!$B$39)</f>
        <v/>
      </c>
    </row>
    <row r="10">
      <c r="A10" s="4" t="inlineStr">
        <is>
          <t>live · status</t>
        </is>
      </c>
      <c r="B10" s="7" t="inlineStr">
        <is>
          <t>{Work} by {named} is now available to collect, for {window} only.</t>
        </is>
      </c>
      <c r="C10" s="9">
        <f>SUBSTITUTE(SUBSTITUTE(SUBSTITUTE(SUBSTITUTE(SUBSTITUTE(SUBSTITUTE(SUBSTITUTE(SUBSTITUTE(SUBSTITUTE(SUBSTITUTE(SUBSTITUTE(SUBSTITUTE(SUBSTITUTE(SUBSTITUTE(SUBSTITUTE(B10,"{artist}",Inputs!$B$4),"{named}",Inputs!$B$33),"{work}",Inputs!$B$34),"{Work}",Inputs!$B$35),"{edition_phrase}",Inputs!$B$10),"{ordinal}",Inputs!$B$7),"{window}",Inputs!$B$13),"{launch_date}",Inputs!$B$14),"{launch_time}",Inputs!$B$15),"{close_date}",Inputs!$B$16),"{close_time}",Inputs!$B$17),"{beneficiary_tagged}",Inputs!$B$36),"{quote}",Inputs!$B$30),"{hashtag}",Inputs!$B$6),"{features}",Inputs!$B$39)</f>
        <v/>
      </c>
    </row>
    <row r="11">
      <c r="A11" s="4" t="inlineStr">
        <is>
          <t>still time · status</t>
        </is>
      </c>
      <c r="B11" s="7" t="inlineStr">
        <is>
          <t>There's still time to collect {work} by {named}.</t>
        </is>
      </c>
      <c r="C11" s="9">
        <f>SUBSTITUTE(SUBSTITUTE(SUBSTITUTE(SUBSTITUTE(SUBSTITUTE(SUBSTITUTE(SUBSTITUTE(SUBSTITUTE(SUBSTITUTE(SUBSTITUTE(SUBSTITUTE(SUBSTITUTE(SUBSTITUTE(SUBSTITUTE(SUBSTITUTE(B11,"{artist}",Inputs!$B$4),"{named}",Inputs!$B$33),"{work}",Inputs!$B$34),"{Work}",Inputs!$B$35),"{edition_phrase}",Inputs!$B$10),"{ordinal}",Inputs!$B$7),"{window}",Inputs!$B$13),"{launch_date}",Inputs!$B$14),"{launch_time}",Inputs!$B$15),"{close_date}",Inputs!$B$16),"{close_time}",Inputs!$B$17),"{beneficiary_tagged}",Inputs!$B$36),"{quote}",Inputs!$B$30),"{hashtag}",Inputs!$B$6),"{features}",Inputs!$B$39)</f>
        <v/>
      </c>
    </row>
    <row r="12">
      <c r="A12" s="4" t="inlineStr">
        <is>
          <t>last chance · status</t>
        </is>
      </c>
      <c r="B12" s="7" t="inlineStr">
        <is>
          <t>Last chance to collect {work} by {named}.</t>
        </is>
      </c>
      <c r="C12" s="9">
        <f>SUBSTITUTE(SUBSTITUTE(SUBSTITUTE(SUBSTITUTE(SUBSTITUTE(SUBSTITUTE(SUBSTITUTE(SUBSTITUTE(SUBSTITUTE(SUBSTITUTE(SUBSTITUTE(SUBSTITUTE(SUBSTITUTE(SUBSTITUTE(SUBSTITUTE(B12,"{artist}",Inputs!$B$4),"{named}",Inputs!$B$33),"{work}",Inputs!$B$34),"{Work}",Inputs!$B$35),"{edition_phrase}",Inputs!$B$10),"{ordinal}",Inputs!$B$7),"{window}",Inputs!$B$13),"{launch_date}",Inputs!$B$14),"{launch_time}",Inputs!$B$15),"{close_date}",Inputs!$B$16),"{close_time}",Inputs!$B$17),"{beneficiary_tagged}",Inputs!$B$36),"{quote}",Inputs!$B$30),"{hashtag}",Inputs!$B$6),"{features}",Inputs!$B$39)</f>
        <v/>
      </c>
    </row>
    <row r="13">
      <c r="A13" s="4" t="inlineStr">
        <is>
          <t>last chance · status, draw</t>
        </is>
      </c>
      <c r="B13" s="7" t="inlineStr">
        <is>
          <t>Last chance to enter the draw for {work} by {named}.</t>
        </is>
      </c>
      <c r="C13" s="9">
        <f>SUBSTITUTE(SUBSTITUTE(SUBSTITUTE(SUBSTITUTE(SUBSTITUTE(SUBSTITUTE(SUBSTITUTE(SUBSTITUTE(SUBSTITUTE(SUBSTITUTE(SUBSTITUTE(SUBSTITUTE(SUBSTITUTE(SUBSTITUTE(SUBSTITUTE(B13,"{artist}",Inputs!$B$4),"{named}",Inputs!$B$33),"{work}",Inputs!$B$34),"{Work}",Inputs!$B$35),"{edition_phrase}",Inputs!$B$10),"{ordinal}",Inputs!$B$7),"{window}",Inputs!$B$13),"{launch_date}",Inputs!$B$14),"{launch_time}",Inputs!$B$15),"{close_date}",Inputs!$B$16),"{close_time}",Inputs!$B$17),"{beneficiary_tagged}",Inputs!$B$36),"{quote}",Inputs!$B$30),"{hashtag}",Inputs!$B$6),"{features}",Inputs!$B$39)</f>
        <v/>
      </c>
    </row>
    <row r="14">
      <c r="A14" s="4" t="inlineStr">
        <is>
          <t>features line</t>
        </is>
      </c>
      <c r="B14" s="7" t="inlineStr">
        <is>
          <t>{features}</t>
        </is>
      </c>
      <c r="C14" s="9">
        <f>SUBSTITUTE(SUBSTITUTE(SUBSTITUTE(SUBSTITUTE(SUBSTITUTE(SUBSTITUTE(SUBSTITUTE(SUBSTITUTE(SUBSTITUTE(SUBSTITUTE(SUBSTITUTE(SUBSTITUTE(SUBSTITUTE(SUBSTITUTE(SUBSTITUTE(B14,"{artist}",Inputs!$B$4),"{named}",Inputs!$B$33),"{work}",Inputs!$B$34),"{Work}",Inputs!$B$35),"{edition_phrase}",Inputs!$B$10),"{ordinal}",Inputs!$B$7),"{window}",Inputs!$B$13),"{launch_date}",Inputs!$B$14),"{launch_time}",Inputs!$B$15),"{close_date}",Inputs!$B$16),"{close_time}",Inputs!$B$17),"{beneficiary_tagged}",Inputs!$B$36),"{quote}",Inputs!$B$30),"{hashtag}",Inputs!$B$6),"{features}",Inputs!$B$39)</f>
        <v/>
      </c>
    </row>
    <row r="15">
      <c r="A15" s="4" t="inlineStr">
        <is>
          <t>beneficiary line</t>
        </is>
      </c>
      <c r="B15" s="7" t="inlineStr">
        <is>
          <t>Released in support of {beneficiary_tagged}.</t>
        </is>
      </c>
      <c r="C15" s="9">
        <f>SUBSTITUTE(SUBSTITUTE(SUBSTITUTE(SUBSTITUTE(SUBSTITUTE(SUBSTITUTE(SUBSTITUTE(SUBSTITUTE(SUBSTITUTE(SUBSTITUTE(SUBSTITUTE(SUBSTITUTE(SUBSTITUTE(SUBSTITUTE(SUBSTITUTE(B15,"{artist}",Inputs!$B$4),"{named}",Inputs!$B$33),"{work}",Inputs!$B$34),"{Work}",Inputs!$B$35),"{edition_phrase}",Inputs!$B$10),"{ordinal}",Inputs!$B$7),"{window}",Inputs!$B$13),"{launch_date}",Inputs!$B$14),"{launch_time}",Inputs!$B$15),"{close_date}",Inputs!$B$16),"{close_time}",Inputs!$B$17),"{beneficiary_tagged}",Inputs!$B$36),"{quote}",Inputs!$B$30),"{hashtag}",Inputs!$B$6),"{features}",Inputs!$B$39)</f>
        <v/>
      </c>
    </row>
    <row r="16">
      <c r="A16" s="4" t="inlineStr">
        <is>
          <t>deadline</t>
        </is>
      </c>
      <c r="B16" s="7" t="inlineStr">
        <is>
          <t>Closes {close_date} at {close_time}.</t>
        </is>
      </c>
      <c r="C16" s="9">
        <f>SUBSTITUTE(SUBSTITUTE(SUBSTITUTE(SUBSTITUTE(SUBSTITUTE(SUBSTITUTE(SUBSTITUTE(SUBSTITUTE(SUBSTITUTE(SUBSTITUTE(SUBSTITUTE(SUBSTITUTE(SUBSTITUTE(SUBSTITUTE(SUBSTITUTE(B16,"{artist}",Inputs!$B$4),"{named}",Inputs!$B$33),"{work}",Inputs!$B$34),"{Work}",Inputs!$B$35),"{edition_phrase}",Inputs!$B$10),"{ordinal}",Inputs!$B$7),"{window}",Inputs!$B$13),"{launch_date}",Inputs!$B$14),"{launch_time}",Inputs!$B$15),"{close_date}",Inputs!$B$16),"{close_time}",Inputs!$B$17),"{beneficiary_tagged}",Inputs!$B$36),"{quote}",Inputs!$B$30),"{hashtag}",Inputs!$B$6),"{features}",Inputs!$B$39)</f>
        <v/>
      </c>
    </row>
    <row r="17">
      <c r="A17" s="4" t="inlineStr">
        <is>
          <t>action before launch, timed</t>
        </is>
      </c>
      <c r="B17" s="7" t="inlineStr">
        <is>
          <t>Available for {window} from {launch_time} on {launch_date}. Link in bio to get updates.</t>
        </is>
      </c>
      <c r="C17" s="9">
        <f>SUBSTITUTE(SUBSTITUTE(SUBSTITUTE(SUBSTITUTE(SUBSTITUTE(SUBSTITUTE(SUBSTITUTE(SUBSTITUTE(SUBSTITUTE(SUBSTITUTE(SUBSTITUTE(SUBSTITUTE(SUBSTITUTE(SUBSTITUTE(SUBSTITUTE(B17,"{artist}",Inputs!$B$4),"{named}",Inputs!$B$33),"{work}",Inputs!$B$34),"{Work}",Inputs!$B$35),"{edition_phrase}",Inputs!$B$10),"{ordinal}",Inputs!$B$7),"{window}",Inputs!$B$13),"{launch_date}",Inputs!$B$14),"{launch_time}",Inputs!$B$15),"{close_date}",Inputs!$B$16),"{close_time}",Inputs!$B$17),"{beneficiary_tagged}",Inputs!$B$36),"{quote}",Inputs!$B$30),"{hashtag}",Inputs!$B$6),"{features}",Inputs!$B$39)</f>
        <v/>
      </c>
    </row>
    <row r="18">
      <c r="A18" s="4" t="inlineStr">
        <is>
          <t>action before launch, draw</t>
        </is>
      </c>
      <c r="B18" s="7" t="inlineStr">
        <is>
          <t>Enter the draw via our link in bio. Closes {close_date} at {close_time}.</t>
        </is>
      </c>
      <c r="C18" s="9">
        <f>SUBSTITUTE(SUBSTITUTE(SUBSTITUTE(SUBSTITUTE(SUBSTITUTE(SUBSTITUTE(SUBSTITUTE(SUBSTITUTE(SUBSTITUTE(SUBSTITUTE(SUBSTITUTE(SUBSTITUTE(SUBSTITUTE(SUBSTITUTE(SUBSTITUTE(B18,"{artist}",Inputs!$B$4),"{named}",Inputs!$B$33),"{work}",Inputs!$B$34),"{Work}",Inputs!$B$35),"{edition_phrase}",Inputs!$B$10),"{ordinal}",Inputs!$B$7),"{window}",Inputs!$B$13),"{launch_date}",Inputs!$B$14),"{launch_time}",Inputs!$B$15),"{close_date}",Inputs!$B$16),"{close_time}",Inputs!$B$17),"{beneficiary_tagged}",Inputs!$B$36),"{quote}",Inputs!$B$30),"{hashtag}",Inputs!$B$6),"{features}",Inputs!$B$39)</f>
        <v/>
      </c>
    </row>
    <row r="19">
      <c r="A19" s="4" t="inlineStr">
        <is>
          <t>action while open, timed</t>
        </is>
      </c>
      <c r="B19" s="7" t="inlineStr">
        <is>
          <t>Link in bio to buy a print. Closes {close_date} at {close_time}.</t>
        </is>
      </c>
      <c r="C19" s="9">
        <f>SUBSTITUTE(SUBSTITUTE(SUBSTITUTE(SUBSTITUTE(SUBSTITUTE(SUBSTITUTE(SUBSTITUTE(SUBSTITUTE(SUBSTITUTE(SUBSTITUTE(SUBSTITUTE(SUBSTITUTE(SUBSTITUTE(SUBSTITUTE(SUBSTITUTE(B19,"{artist}",Inputs!$B$4),"{named}",Inputs!$B$33),"{work}",Inputs!$B$34),"{Work}",Inputs!$B$35),"{edition_phrase}",Inputs!$B$10),"{ordinal}",Inputs!$B$7),"{window}",Inputs!$B$13),"{launch_date}",Inputs!$B$14),"{launch_time}",Inputs!$B$15),"{close_date}",Inputs!$B$16),"{close_time}",Inputs!$B$17),"{beneficiary_tagged}",Inputs!$B$36),"{quote}",Inputs!$B$30),"{hashtag}",Inputs!$B$6),"{features}",Inputs!$B$39)</f>
        <v/>
      </c>
    </row>
    <row r="20">
      <c r="A20" s="4" t="inlineStr">
        <is>
          <t>action while open, draw</t>
        </is>
      </c>
      <c r="B20" s="7" t="inlineStr">
        <is>
          <t>Enter the draw via our link in bio. Closes {close_date} at {close_time}.</t>
        </is>
      </c>
      <c r="C20" s="9">
        <f>SUBSTITUTE(SUBSTITUTE(SUBSTITUTE(SUBSTITUTE(SUBSTITUTE(SUBSTITUTE(SUBSTITUTE(SUBSTITUTE(SUBSTITUTE(SUBSTITUTE(SUBSTITUTE(SUBSTITUTE(SUBSTITUTE(SUBSTITUTE(SUBSTITUTE(B20,"{artist}",Inputs!$B$4),"{named}",Inputs!$B$33),"{work}",Inputs!$B$34),"{Work}",Inputs!$B$35),"{edition_phrase}",Inputs!$B$10),"{ordinal}",Inputs!$B$7),"{window}",Inputs!$B$13),"{launch_date}",Inputs!$B$14),"{launch_time}",Inputs!$B$15),"{close_date}",Inputs!$B$16),"{close_time}",Inputs!$B$17),"{beneficiary_tagged}",Inputs!$B$36),"{quote}",Inputs!$B$30),"{hashtag}",Inputs!$B$6),"{features}",Inputs!$B$39)</f>
        <v/>
      </c>
    </row>
    <row r="21">
      <c r="A21" s="4" t="inlineStr">
        <is>
          <t>coming soon · action</t>
        </is>
      </c>
      <c r="B21" s="7" t="inlineStr">
        <is>
          <t>Link in bio to get updates.</t>
        </is>
      </c>
      <c r="C21" s="9">
        <f>SUBSTITUTE(SUBSTITUTE(SUBSTITUTE(SUBSTITUTE(SUBSTITUTE(SUBSTITUTE(SUBSTITUTE(SUBSTITUTE(SUBSTITUTE(SUBSTITUTE(SUBSTITUTE(SUBSTITUTE(SUBSTITUTE(SUBSTITUTE(SUBSTITUTE(B21,"{artist}",Inputs!$B$4),"{named}",Inputs!$B$33),"{work}",Inputs!$B$34),"{Work}",Inputs!$B$35),"{edition_phrase}",Inputs!$B$10),"{ordinal}",Inputs!$B$7),"{window}",Inputs!$B$13),"{launch_date}",Inputs!$B$14),"{launch_time}",Inputs!$B$15),"{close_date}",Inputs!$B$16),"{close_time}",Inputs!$B$17),"{beneficiary_tagged}",Inputs!$B$36),"{quote}",Inputs!$B$30),"{hashtag}",Inputs!$B$6),"{features}",Inputs!$B$39)</f>
        <v/>
      </c>
    </row>
    <row r="22">
      <c r="A22" s="4" t="inlineStr">
        <is>
          <t>hashtag</t>
        </is>
      </c>
      <c r="B22" s="7" t="inlineStr">
        <is>
          <t>#{hashtag}</t>
        </is>
      </c>
      <c r="C22" s="9">
        <f>SUBSTITUTE(SUBSTITUTE(SUBSTITUTE(SUBSTITUTE(SUBSTITUTE(SUBSTITUTE(SUBSTITUTE(SUBSTITUTE(SUBSTITUTE(SUBSTITUTE(SUBSTITUTE(SUBSTITUTE(SUBSTITUTE(SUBSTITUTE(SUBSTITUTE(B22,"{artist}",Inputs!$B$4),"{named}",Inputs!$B$33),"{work}",Inputs!$B$34),"{Work}",Inputs!$B$35),"{edition_phrase}",Inputs!$B$10),"{ordinal}",Inputs!$B$7),"{window}",Inputs!$B$13),"{launch_date}",Inputs!$B$14),"{launch_time}",Inputs!$B$15),"{close_date}",Inputs!$B$16),"{close_time}",Inputs!$B$17),"{beneficiary_tagged}",Inputs!$B$36),"{quote}",Inputs!$B$30),"{hashtag}",Inputs!$B$6),"{features}",Inputs!$B$39)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44" customWidth="1" min="4" max="4"/>
    <col width="56" customWidth="1" min="5" max="5"/>
    <col width="40" customWidth="1" min="6" max="6"/>
    <col width="44" customWidth="1" min="7" max="7"/>
    <col width="14" customWidth="1" min="8" max="8"/>
    <col width="92" customWidth="1" min="9" max="9"/>
    <col width="11" customWidth="1" min="10" max="10"/>
  </cols>
  <sheetData>
    <row r="1">
      <c r="A1" s="1" t="inlineStr">
        <is>
          <t>The posts, assembled</t>
        </is>
      </c>
    </row>
    <row r="2">
      <c r="A2" s="2" t="inlineStr">
        <is>
          <t>Every cell below is a formula over Inputs and Lines. Skeleton: status line · substance · edition line · action line · hashtag. Coming Soon opens with the bio instead.</t>
        </is>
      </c>
    </row>
    <row r="3">
      <c r="A3" s="3" t="inlineStr">
        <is>
          <t>#</t>
        </is>
      </c>
      <c r="B3" s="3" t="inlineStr">
        <is>
          <t>Post</t>
        </is>
      </c>
      <c r="C3" s="3" t="inlineStr">
        <is>
          <t>Made of</t>
        </is>
      </c>
      <c r="D3" s="3" t="inlineStr">
        <is>
          <t>Status line</t>
        </is>
      </c>
      <c r="E3" s="3" t="inlineStr">
        <is>
          <t>Substance</t>
        </is>
      </c>
      <c r="F3" s="3" t="inlineStr">
        <is>
          <t>Edition line</t>
        </is>
      </c>
      <c r="G3" s="3" t="inlineStr">
        <is>
          <t>Action line</t>
        </is>
      </c>
      <c r="H3" s="3" t="inlineStr">
        <is>
          <t>Hashtag</t>
        </is>
      </c>
      <c r="I3" s="3" t="inlineStr">
        <is>
          <t>Caption</t>
        </is>
      </c>
      <c r="J3" s="3" t="inlineStr">
        <is>
          <t>Characters</t>
        </is>
      </c>
    </row>
    <row r="4" ht="190" customHeight="1">
      <c r="A4" s="10" t="n">
        <v>1</v>
      </c>
      <c r="B4" s="10" t="inlineStr">
        <is>
          <t>coming soon</t>
        </is>
      </c>
      <c r="C4" s="10" t="inlineStr">
        <is>
          <t>bio · status · action</t>
        </is>
      </c>
      <c r="D4" s="10">
        <f>Lines!$C$4</f>
        <v/>
      </c>
      <c r="E4" s="10">
        <f>Inputs!$B$37</f>
        <v/>
      </c>
      <c r="F4" s="10">
        <f>""</f>
        <v/>
      </c>
      <c r="G4" s="10">
        <f>Lines!$C$21</f>
        <v/>
      </c>
      <c r="H4" s="10">
        <f>""</f>
        <v/>
      </c>
      <c r="I4" s="10">
        <f>E4&amp;IF(D4="","",CHAR(10)&amp;CHAR(10)&amp;D4)&amp;IF(G4="","",CHAR(10)&amp;CHAR(10)&amp;G4)</f>
        <v/>
      </c>
      <c r="J4" s="10">
        <f>LEN(I4)</f>
        <v/>
      </c>
    </row>
    <row r="5" ht="190" customHeight="1">
      <c r="A5" s="10" t="n">
        <v>2</v>
      </c>
      <c r="B5" s="10" t="inlineStr">
        <is>
          <t>announce</t>
        </is>
      </c>
      <c r="C5" s="10" t="inlineStr">
        <is>
          <t>status · hook · features · action · hashtag</t>
        </is>
      </c>
      <c r="D5" s="10">
        <f>IF(Inputs!$B$9="yes",Lines!$C$6,Lines!$C$5)</f>
        <v/>
      </c>
      <c r="E5" s="10">
        <f>Inputs!$B$38</f>
        <v/>
      </c>
      <c r="F5" s="10">
        <f>Lines!$C$14&amp;IF(Inputs!$B$41,"",IF(Inputs!$B$36="",""," "&amp;Lines!$C$15))</f>
        <v/>
      </c>
      <c r="G5" s="10">
        <f>IF(Inputs!$B$12="draw",Lines!$C$18,Lines!$C$17)</f>
        <v/>
      </c>
      <c r="H5" s="10">
        <f>IF(Inputs!$B$6="","",Lines!$C$22)</f>
        <v/>
      </c>
      <c r="I5" s="10">
        <f>D5&amp;IF(E5="","",CHAR(10)&amp;CHAR(10)&amp;E5)&amp;IF(F5="","",CHAR(10)&amp;CHAR(10)&amp;F5)&amp;IF(G5="","",CHAR(10)&amp;CHAR(10)&amp;G5)&amp;IF(H5="","",CHAR(10)&amp;CHAR(10)&amp;H5)</f>
        <v/>
      </c>
      <c r="J5" s="10">
        <f>LEN(I5)</f>
        <v/>
      </c>
    </row>
    <row r="6" ht="120" customHeight="1">
      <c r="A6" s="10" t="n">
        <v>3</v>
      </c>
      <c r="B6" s="10" t="inlineStr">
        <is>
          <t>sustain</t>
        </is>
      </c>
      <c r="C6" s="10" t="inlineStr">
        <is>
          <t>status · making · features + beneficiary · action</t>
        </is>
      </c>
      <c r="D6" s="10">
        <f>Lines!$C$7</f>
        <v/>
      </c>
      <c r="E6" s="10">
        <f>Inputs!$B$40</f>
        <v/>
      </c>
      <c r="F6" s="10">
        <f>Lines!$C$14&amp;IF(Inputs!$B$36="",""," "&amp;Lines!$C$15)</f>
        <v/>
      </c>
      <c r="G6" s="10">
        <f>IF(Inputs!$B$12="draw",Lines!$C$18,Lines!$C$17)</f>
        <v/>
      </c>
      <c r="H6" s="10">
        <f>""</f>
        <v/>
      </c>
      <c r="I6" s="10">
        <f>D6&amp;IF(E6="","",CHAR(10)&amp;CHAR(10)&amp;E6)&amp;IF(F6="","",CHAR(10)&amp;CHAR(10)&amp;F6)&amp;IF(G6="","",CHAR(10)&amp;CHAR(10)&amp;G6)</f>
        <v/>
      </c>
      <c r="J6" s="10">
        <f>LEN(I6)</f>
        <v/>
      </c>
    </row>
    <row r="7" ht="120" customHeight="1">
      <c r="A7" s="10" t="n">
        <v>4</v>
      </c>
      <c r="B7" s="10" t="inlineStr">
        <is>
          <t>sustain, the artist's words</t>
        </is>
      </c>
      <c r="C7" s="10" t="inlineStr">
        <is>
          <t>quote · status · features + beneficiary · action</t>
        </is>
      </c>
      <c r="D7" s="10">
        <f>IF(Inputs!$B$30="","(no quote given, post skipped)",Lines!$C$8)</f>
        <v/>
      </c>
      <c r="E7" s="10">
        <f>IF(Inputs!$B$30="","",Lines!$C$9)</f>
        <v/>
      </c>
      <c r="F7" s="10">
        <f>IF(Inputs!$B$30="","",Lines!$C$14&amp;IF(Inputs!$B$36="",""," "&amp;Lines!$C$15))</f>
        <v/>
      </c>
      <c r="G7" s="10">
        <f>IF(Inputs!$B$30="","",IF(Inputs!$B$12="draw",Lines!$C$18,Lines!$C$17))</f>
        <v/>
      </c>
      <c r="H7" s="10">
        <f>""</f>
        <v/>
      </c>
      <c r="I7" s="10">
        <f>IF(Inputs!$B$30="","(no quote given, post skipped)",D7&amp;IF(E7="","",CHAR(10)&amp;CHAR(10)&amp;E7)&amp;IF(F7="","",CHAR(10)&amp;CHAR(10)&amp;F7)&amp;IF(G7="","",CHAR(10)&amp;CHAR(10)&amp;G7))</f>
        <v/>
      </c>
      <c r="J7" s="10">
        <f>LEN(I7)</f>
        <v/>
      </c>
    </row>
    <row r="8" ht="120" customHeight="1">
      <c r="A8" s="10" t="n">
        <v>5</v>
      </c>
      <c r="B8" s="10" t="inlineStr">
        <is>
          <t>live (timed only)</t>
        </is>
      </c>
      <c r="C8" s="10" t="inlineStr">
        <is>
          <t>status · features + beneficiary · action</t>
        </is>
      </c>
      <c r="D8" s="10">
        <f>IF(Inputs!$B$12="draw","(not used for a draw)",Lines!$C$10)</f>
        <v/>
      </c>
      <c r="E8" s="10">
        <f>""</f>
        <v/>
      </c>
      <c r="F8" s="10">
        <f>IF(Inputs!$B$12="draw","",Lines!$C$14&amp;IF(Inputs!$B$36="",""," "&amp;Lines!$C$15))</f>
        <v/>
      </c>
      <c r="G8" s="10">
        <f>IF(Inputs!$B$12="draw","",IF(Inputs!$B$12="draw",Lines!$C$20,Lines!$C$19))</f>
        <v/>
      </c>
      <c r="H8" s="10">
        <f>""</f>
        <v/>
      </c>
      <c r="I8" s="10">
        <f>IF(Inputs!$B$12="draw","(not used for a draw)",D8&amp;IF(F8="","",CHAR(10)&amp;CHAR(10)&amp;F8)&amp;IF(G8="","",CHAR(10)&amp;CHAR(10)&amp;G8))</f>
        <v/>
      </c>
      <c r="J8" s="10">
        <f>LEN(I8)</f>
        <v/>
      </c>
    </row>
    <row r="9" ht="120" customHeight="1">
      <c r="A9" s="10" t="n">
        <v>6</v>
      </c>
      <c r="B9" s="10" t="inlineStr">
        <is>
          <t>still time (timed only)</t>
        </is>
      </c>
      <c r="C9" s="10" t="inlineStr">
        <is>
          <t>status · features + beneficiary · action</t>
        </is>
      </c>
      <c r="D9" s="10">
        <f>IF(Inputs!$B$12="draw","(not used for a draw)",Lines!$C$11)</f>
        <v/>
      </c>
      <c r="E9" s="10">
        <f>""</f>
        <v/>
      </c>
      <c r="F9" s="10">
        <f>IF(Inputs!$B$12="draw","",Lines!$C$14&amp;IF(Inputs!$B$36="",""," "&amp;Lines!$C$15))</f>
        <v/>
      </c>
      <c r="G9" s="10">
        <f>IF(Inputs!$B$12="draw","",IF(Inputs!$B$12="draw",Lines!$C$20,Lines!$C$19))</f>
        <v/>
      </c>
      <c r="H9" s="10">
        <f>""</f>
        <v/>
      </c>
      <c r="I9" s="10">
        <f>IF(Inputs!$B$12="draw","(not used for a draw)",D9&amp;IF(F9="","",CHAR(10)&amp;CHAR(10)&amp;F9)&amp;IF(G9="","",CHAR(10)&amp;CHAR(10)&amp;G9))</f>
        <v/>
      </c>
      <c r="J9" s="10">
        <f>LEN(I9)</f>
        <v/>
      </c>
    </row>
    <row r="10" ht="120" customHeight="1">
      <c r="A10" s="10" t="n">
        <v>7</v>
      </c>
      <c r="B10" s="10" t="inlineStr">
        <is>
          <t>last chance</t>
        </is>
      </c>
      <c r="C10" s="10" t="inlineStr">
        <is>
          <t>status · features + beneficiary · action</t>
        </is>
      </c>
      <c r="D10" s="10">
        <f>IF(Inputs!$B$12="draw",Lines!$C$13,Lines!$C$12)</f>
        <v/>
      </c>
      <c r="E10" s="10">
        <f>""</f>
        <v/>
      </c>
      <c r="F10" s="10">
        <f>Lines!$C$14&amp;IF(Inputs!$B$36="",""," "&amp;Lines!$C$15)</f>
        <v/>
      </c>
      <c r="G10" s="10">
        <f>IF(Inputs!$B$12="draw",Lines!$C$20,Lines!$C$19)</f>
        <v/>
      </c>
      <c r="H10" s="10">
        <f>""</f>
        <v/>
      </c>
      <c r="I10" s="10">
        <f>D10&amp;IF(F10="","",CHAR(10)&amp;CHAR(10)&amp;F10)&amp;IF(G10="","",CHAR(10)&amp;CHAR(10)&amp;G10)</f>
        <v/>
      </c>
      <c r="J10" s="10">
        <f>LEN(I10)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16" customWidth="1" min="1" max="1"/>
    <col width="110" customWidth="1" min="2" max="2"/>
  </cols>
  <sheetData>
    <row r="1">
      <c r="A1" s="1" t="inlineStr">
        <is>
          <t>The system on one page</t>
        </is>
      </c>
    </row>
    <row r="3" ht="32" customHeight="1">
      <c r="A3" s="11" t="inlineStr">
        <is>
          <t>Skeleton</t>
        </is>
      </c>
      <c r="B3" s="9" t="inlineStr">
        <is>
          <t>Every post is: status line, substance, features line, action line, and a hashtag on the announcement only. Coming Soon opens with the bio because the bio names the artist.</t>
        </is>
      </c>
    </row>
    <row r="4" ht="32" customHeight="1">
      <c r="A4" s="11" t="inlineStr">
        <is>
          <t>Status lines</t>
        </is>
      </c>
      <c r="B4" s="9" t="inlineStr">
        <is>
          <t>One fixed sentence per phase, on the Lines sheet: coming soon, announce, sustain, the artist's words, live, still time, last chance.</t>
        </is>
      </c>
    </row>
    <row r="5" ht="32" customHeight="1">
      <c r="A5" s="11" t="inlineStr">
        <is>
          <t>Substance</t>
        </is>
      </c>
      <c r="B5" s="9" t="inlineStr">
        <is>
          <t>Coming soon takes the bio. Announce takes the hook. Sustain takes the making line, then the quote as a second post. Live and closing posts take nothing.</t>
        </is>
      </c>
    </row>
    <row r="6" ht="32" customHeight="1">
      <c r="A6" s="11" t="inlineStr">
        <is>
          <t>Features line</t>
        </is>
      </c>
      <c r="B6" s="9" t="inlineStr">
        <is>
          <t>The release's features as short sentences: the standard three (signed by the artist, individually numbered, free worldwide shipping) plus anything bespoke. The beneficiary follows, named once per post.</t>
        </is>
      </c>
    </row>
    <row r="7" ht="32" customHeight="1">
      <c r="A7" s="11" t="inlineStr">
        <is>
          <t>Action line</t>
        </is>
      </c>
      <c r="B7" s="9" t="inlineStr">
        <is>
          <t>Three CTAs only: get updates before launch, enter the draw for a draw, buy a print for an open window. One deadline form: Closes {date} at {time} UK time.</t>
        </is>
      </c>
    </row>
    <row r="8" ht="32" customHeight="1">
      <c r="A8" s="11" t="inlineStr">
        <is>
          <t>Fragments</t>
        </is>
      </c>
      <c r="B8" s="9" t="inlineStr">
        <is>
          <t>Three per release, written once: bio (2 to 3 sentences), hook (1 to 2 sentences about the work only, shared with the email), making (one sentence naming Make-Ready). The quote is verbatim. The hook and bio must not repeat each other. Fragments are voice-neutral (no we or our, no artist name in the hook or making line) so the same lines serve the artist's and partner's emails.</t>
        </is>
      </c>
    </row>
    <row r="9" ht="32" customHeight="1">
      <c r="A9" s="11" t="inlineStr">
        <is>
          <t>Rule 1</t>
        </is>
      </c>
      <c r="B9" s="9" t="inlineStr">
        <is>
          <t>The artist's handle follows the first mention of their name in each post. The beneficiary is tagged where named.</t>
        </is>
      </c>
    </row>
    <row r="10" ht="32" customHeight="1">
      <c r="A10" s="11" t="inlineStr">
        <is>
          <t>Rule 2</t>
        </is>
      </c>
      <c r="B10" s="9" t="inlineStr">
        <is>
          <t>A series with one shared title is called "the {series} series".</t>
        </is>
      </c>
    </row>
    <row r="11" ht="32" customHeight="1">
      <c r="A11" s="11" t="inlineStr">
        <is>
          <t>Rule 3</t>
        </is>
      </c>
      <c r="B11" s="9" t="inlineStr">
        <is>
          <t>Titles in single curly quotes. 14:00 UK time. 30 April. one week or 48 hours.</t>
        </is>
      </c>
    </row>
    <row r="12" ht="32" customHeight="1">
      <c r="A12" s="11" t="inlineStr">
        <is>
          <t>Rule 4</t>
        </is>
      </c>
      <c r="B12" s="9" t="inlineStr">
        <is>
          <t>No URLs, no emoji, no exclamation marks.</t>
        </is>
      </c>
    </row>
    <row r="13" ht="32" customHeight="1">
      <c r="A13" s="11" t="inlineStr">
        <is>
          <t>Rule 5</t>
        </is>
      </c>
      <c r="B13" s="9" t="inlineStr">
        <is>
          <t>The quote must be a complete sentence, or the post is skipped.</t>
        </is>
      </c>
    </row>
    <row r="14" ht="32" customHeight="1">
      <c r="A14" s="11" t="inlineStr">
        <is>
          <t>Rule 6</t>
        </is>
      </c>
      <c r="B14" s="9" t="inlineStr">
        <is>
          <t>Anything editorial (a reel, an event tie-in) is written outside the system and borrows only the edition and action lines.</t>
        </is>
      </c>
    </row>
    <row r="15" ht="32" customHeight="1">
      <c r="A15" s="11" t="inlineStr">
        <is>
          <t>How to use</t>
        </is>
      </c>
      <c r="B15" s="9" t="inlineStr">
        <is>
          <t>Fill the blue cells on Inputs. Read the Posts sheet.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2026-09-11T16:24:41Z</dcterms:created>
  <dcterms:modified xsi:type="dcterms:W3CDTF">2026-09-11T16:24:41Z</dcterms:modified>
</cp:coreProperties>
</file>