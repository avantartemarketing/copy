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Rul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4" customWidth="1" min="1" max="1"/>
    <col width="78" customWidth="1" min="2" max="2"/>
    <col width="60" customWidth="1" min="3" max="3"/>
  </cols>
  <sheetData>
    <row r="1">
      <c r="A1" s="1" t="inlineStr">
        <is>
          <t>Instagram set · inputs for one release</t>
        </is>
      </c>
    </row>
    <row r="2">
      <c r="A2" s="2" t="inlineStr">
        <is>
          <t>Blue cells on yellow are yours to fill. Everything else in this workbook is a formula. Change mechanic to draw to see the draw set.</t>
        </is>
      </c>
    </row>
    <row r="3">
      <c r="A3" s="3" t="inlineStr">
        <is>
          <t>Field</t>
        </is>
      </c>
      <c r="B3" s="3" t="inlineStr">
        <is>
          <t>Value</t>
        </is>
      </c>
      <c r="C3" s="3" t="inlineStr">
        <is>
          <t>What it is</t>
        </is>
      </c>
    </row>
    <row r="4">
      <c r="A4" s="4" t="inlineStr">
        <is>
          <t>artist</t>
        </is>
      </c>
      <c r="B4" s="5" t="inlineStr">
        <is>
          <t>Grayson Perry</t>
        </is>
      </c>
      <c r="C4" s="2" t="inlineStr">
        <is>
          <t>full name</t>
        </is>
      </c>
    </row>
    <row r="5">
      <c r="A5" s="4" t="inlineStr">
        <is>
          <t>handle</t>
        </is>
      </c>
      <c r="B5" s="5" t="inlineStr">
        <is>
          <t>alanmeasles</t>
        </is>
      </c>
      <c r="C5" s="2" t="inlineStr">
        <is>
          <t>Instagram handle, blank if none</t>
        </is>
      </c>
    </row>
    <row r="6">
      <c r="A6" s="4" t="inlineStr">
        <is>
          <t>hashtag</t>
        </is>
      </c>
      <c r="B6" s="5" t="inlineStr">
        <is>
          <t>GraysonPerry</t>
        </is>
      </c>
      <c r="C6" s="2" t="inlineStr">
        <is>
          <t>used on the announcement only; blank for none</t>
        </is>
      </c>
    </row>
    <row r="7">
      <c r="A7" s="4" t="inlineStr">
        <is>
          <t>ordinal</t>
        </is>
      </c>
      <c r="B7" s="5" t="inlineStr">
        <is>
          <t>latest</t>
        </is>
      </c>
      <c r="C7" s="2" t="inlineStr">
        <is>
          <t>debut, latest or second</t>
        </is>
      </c>
    </row>
    <row r="8">
      <c r="A8" s="4" t="inlineStr">
        <is>
          <t>title</t>
        </is>
      </c>
      <c r="B8" s="5" t="inlineStr">
        <is>
          <t>The Changeling</t>
        </is>
      </c>
      <c r="C8" s="2" t="inlineStr">
        <is>
          <t>exactly as it appears; for a series with one shared title, give the series name</t>
        </is>
      </c>
    </row>
    <row r="9">
      <c r="A9" s="4" t="inlineStr">
        <is>
          <t>is_series</t>
        </is>
      </c>
      <c r="B9" s="5" t="inlineStr">
        <is>
          <t>no</t>
        </is>
      </c>
      <c r="C9" s="2" t="inlineStr">
        <is>
          <t>yes when the works share one title</t>
        </is>
      </c>
    </row>
    <row r="10">
      <c r="A10" s="4" t="inlineStr">
        <is>
          <t>edition_phrase</t>
        </is>
      </c>
      <c r="B10" s="5" t="inlineStr">
        <is>
          <t>a new limited edition print</t>
        </is>
      </c>
      <c r="C10" s="2" t="inlineStr">
        <is>
          <t>e.g. a trio of limited edition prints; six new limited edition prints</t>
        </is>
      </c>
    </row>
    <row r="11">
      <c r="A11" s="4" t="inlineStr">
        <is>
          <t>works</t>
        </is>
      </c>
      <c r="B11" s="5" t="n">
        <v>1</v>
      </c>
      <c r="C11" s="2" t="inlineStr">
        <is>
          <t>number of works</t>
        </is>
      </c>
    </row>
    <row r="12">
      <c r="A12" s="4" t="inlineStr">
        <is>
          <t>mechanic</t>
        </is>
      </c>
      <c r="B12" s="5" t="inlineStr">
        <is>
          <t>timed</t>
        </is>
      </c>
      <c r="C12" s="2" t="inlineStr">
        <is>
          <t>timed or draw</t>
        </is>
      </c>
    </row>
    <row r="13">
      <c r="A13" s="4" t="inlineStr">
        <is>
          <t>window</t>
        </is>
      </c>
      <c r="B13" s="5" t="inlineStr">
        <is>
          <t>one week</t>
        </is>
      </c>
      <c r="C13" s="2" t="inlineStr">
        <is>
          <t>48 hours or one week; timed only</t>
        </is>
      </c>
    </row>
    <row r="14">
      <c r="A14" s="4" t="inlineStr">
        <is>
          <t>launch_date</t>
        </is>
      </c>
      <c r="B14" s="5" t="inlineStr">
        <is>
          <t>30 April</t>
        </is>
      </c>
      <c r="C14" s="2" t="inlineStr">
        <is>
          <t>day and month, no ordinal</t>
        </is>
      </c>
    </row>
    <row r="15">
      <c r="A15" s="4" t="inlineStr">
        <is>
          <t>launch_time</t>
        </is>
      </c>
      <c r="B15" s="5" t="inlineStr">
        <is>
          <t>14:00 UK time</t>
        </is>
      </c>
      <c r="C15" s="2" t="inlineStr">
        <is>
          <t>24-hour, always UK time</t>
        </is>
      </c>
    </row>
    <row r="16">
      <c r="A16" s="4" t="inlineStr">
        <is>
          <t>close_date</t>
        </is>
      </c>
      <c r="B16" s="5" t="inlineStr">
        <is>
          <t>7 May</t>
        </is>
      </c>
      <c r="C16" s="2" t="inlineStr"/>
    </row>
    <row r="17">
      <c r="A17" s="4" t="inlineStr">
        <is>
          <t>close_time</t>
        </is>
      </c>
      <c r="B17" s="5" t="inlineStr">
        <is>
          <t>14:00 UK time</t>
        </is>
      </c>
      <c r="C17" s="2" t="inlineStr"/>
    </row>
    <row r="18">
      <c r="A18" s="4" t="inlineStr">
        <is>
          <t>beneficiary</t>
        </is>
      </c>
      <c r="B18" s="5" t="inlineStr">
        <is>
          <t>the Foundling Museum</t>
        </is>
      </c>
      <c r="C18" s="2" t="inlineStr">
        <is>
          <t>blank if none</t>
        </is>
      </c>
    </row>
    <row r="19">
      <c r="A19" s="4" t="inlineStr">
        <is>
          <t>beneficiary_handle</t>
        </is>
      </c>
      <c r="B19" s="5" t="inlineStr">
        <is>
          <t>foundlingmuseum</t>
        </is>
      </c>
      <c r="C19" s="2" t="inlineStr">
        <is>
          <t>blank if none</t>
        </is>
      </c>
    </row>
    <row r="21">
      <c r="A21" s="6" t="inlineStr">
        <is>
          <t>Fragments, written once per release</t>
        </is>
      </c>
    </row>
    <row r="22" ht="128" customHeight="1">
      <c r="A22" s="4" t="inlineStr">
        <is>
          <t>bio</t>
        </is>
      </c>
      <c r="B22" s="7" t="inlineStr">
        <is>
          <t>Grayson Perry has long been one of the most distinctive voices in contemporary British art.
Working across ceramics, tapestry, print and sculpture, his practice examines identity, class, and gender in modern society. Drawing on autobiography as well as social observation, Grayson often pairs the decorative language of traditional craft with direct commentary on the structures and contradictions that shape everyday life.</t>
        </is>
      </c>
      <c r="C22" s="8" t="inlineStr">
        <is>
          <t>2 to 3 sentences on the artist, third person, no handle. Coming Soon only.</t>
        </is>
      </c>
    </row>
    <row r="23" ht="48" customHeight="1">
      <c r="A23" s="4" t="inlineStr">
        <is>
          <t>hook</t>
        </is>
      </c>
      <c r="B23" s="7" t="inlineStr">
        <is>
          <t>Created exclusively for the Foundling Museum, this edition portrays a child as a symbol of modern youth, exploring how technology shapes today's generations and supporting the museum's mission to celebrate children in care.</t>
        </is>
      </c>
      <c r="C23" s="8" t="inlineStr">
        <is>
          <t>1 to 2 sentences on the work; the same hook the email uses. Announcement only.</t>
        </is>
      </c>
    </row>
    <row r="24" ht="48" customHeight="1">
      <c r="A24" s="4" t="inlineStr">
        <is>
          <t>making</t>
        </is>
      </c>
      <c r="B24" s="7" t="inlineStr">
        <is>
          <t>To create the edition, our printmakers at Make-Ready (@make__ready) translated a new design into a 9-colour silkscreen, capturing the vivid detail of Grayson's drawing style.</t>
        </is>
      </c>
      <c r="C24" s="8" t="inlineStr">
        <is>
          <t>one sentence on how it was made, naming Make-Ready. Sustain only.</t>
        </is>
      </c>
    </row>
    <row r="25" ht="32" customHeight="1">
      <c r="A25" s="4" t="inlineStr">
        <is>
          <t>quote</t>
        </is>
      </c>
      <c r="B25" s="7" t="inlineStr">
        <is>
          <t>Beauty and seriousness are perhaps the most shocking tactics left to artists these days.</t>
        </is>
      </c>
      <c r="C25" s="8" t="inlineStr">
        <is>
          <t>verbatim, a complete sentence, or blank to skip the second sustain post</t>
        </is>
      </c>
    </row>
    <row r="27">
      <c r="A27" s="6" t="inlineStr">
        <is>
          <t>Derived (formulas, do not edit)</t>
        </is>
      </c>
    </row>
    <row r="28">
      <c r="A28" s="4" t="inlineStr">
        <is>
          <t>named</t>
        </is>
      </c>
      <c r="B28" s="9">
        <f>$B$4&amp;IF($B$5="","", " (@"&amp;$B$5&amp;")")</f>
        <v/>
      </c>
      <c r="C28" s="2" t="inlineStr">
        <is>
          <t>artist with handle</t>
        </is>
      </c>
    </row>
    <row r="29">
      <c r="A29" s="4" t="inlineStr">
        <is>
          <t>work</t>
        </is>
      </c>
      <c r="B29" s="9">
        <f>IF($B$9="yes","the "&amp;$B$8&amp;" series","‘"&amp;$B$8&amp;"’")</f>
        <v/>
      </c>
      <c r="C29" s="2" t="inlineStr">
        <is>
          <t>the title in quotes, or the series</t>
        </is>
      </c>
    </row>
    <row r="30">
      <c r="A30" s="4" t="inlineStr">
        <is>
          <t>Work</t>
        </is>
      </c>
      <c r="B30" s="9">
        <f>UPPER(LEFT($B$29,1))&amp;MID($B$29,2,999)</f>
        <v/>
      </c>
      <c r="C30" s="2" t="inlineStr">
        <is>
          <t>the same, capitalised for the start of a sentence</t>
        </is>
      </c>
    </row>
    <row r="31">
      <c r="A31" s="4" t="inlineStr">
        <is>
          <t>beneficiary_tagged</t>
        </is>
      </c>
      <c r="B31" s="9">
        <f>IF($B$18="","",$B$18&amp;IF($B$19="",""," (@"&amp;$B$19&amp;")"))</f>
        <v/>
      </c>
      <c r="C31" s="2" t="inlineStr">
        <is>
          <t>beneficiary with handle</t>
        </is>
      </c>
    </row>
    <row r="32" ht="80" customHeight="1">
      <c r="A32" s="4" t="inlineStr">
        <is>
          <t>bio_tagged</t>
        </is>
      </c>
      <c r="B32" s="9">
        <f>IF($B$5="",$B$22,SUBSTITUTE($B$22,$B$4,$B$28,1))</f>
        <v/>
      </c>
      <c r="C32" s="2" t="inlineStr">
        <is>
          <t>the bio with the handle after the first mention of the name</t>
        </is>
      </c>
    </row>
    <row r="33" ht="48" customHeight="1">
      <c r="A33" s="4" t="inlineStr">
        <is>
          <t>hook_tagged</t>
        </is>
      </c>
      <c r="B33" s="9">
        <f>IF($B$31="",$B$23,SUBSTITUTE($B$23,$B$18,$B$31,1))</f>
        <v/>
      </c>
      <c r="C33" s="2" t="inlineStr">
        <is>
          <t>the hook with the beneficiary tagged</t>
        </is>
      </c>
    </row>
    <row r="34">
      <c r="A34" s="4" t="inlineStr">
        <is>
          <t>hook_names_beneficiary</t>
        </is>
      </c>
      <c r="B34" s="9">
        <f>IF($B$18="",FALSE,ISNUMBER(SEARCH($B$18,$B$23)))</f>
        <v/>
      </c>
      <c r="C34" s="2" t="inlineStr">
        <is>
          <t>TRUE when the hook already names the beneficiary, so the edition line will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0" customWidth="1" min="1" max="1"/>
    <col width="70" customWidth="1" min="2" max="2"/>
    <col width="70" customWidth="1" min="3" max="3"/>
  </cols>
  <sheetData>
    <row r="1">
      <c r="A1" s="1" t="inlineStr">
        <is>
          <t>The fixed sentences, with the placeholders they take</t>
        </is>
      </c>
    </row>
    <row r="2">
      <c r="A2" s="2" t="inlineStr">
        <is>
          <t>This is the whole system's copy. Edit a blue cell to change every future post. Column C fills the placeholders from Inputs.</t>
        </is>
      </c>
    </row>
    <row r="3">
      <c r="A3" s="3" t="inlineStr">
        <is>
          <t>Key</t>
        </is>
      </c>
      <c r="B3" s="3" t="inlineStr">
        <is>
          <t>Line, with placeholders</t>
        </is>
      </c>
      <c r="C3" s="3" t="inlineStr">
        <is>
          <t>Filled from Inputs</t>
        </is>
      </c>
    </row>
    <row r="4">
      <c r="A4" s="4" t="inlineStr">
        <is>
          <t>coming soon · status</t>
        </is>
      </c>
      <c r="B4" s="7" t="inlineStr">
        <is>
          <t>Our {ordinal} collaboration is on the horizon.</t>
        </is>
      </c>
      <c r="C4" s="9">
        <f>SUBSTITUTE(SUBSTITUTE(SUBSTITUTE(SUBSTITUTE(SUBSTITUTE(SUBSTITUTE(SUBSTITUTE(SUBSTITUTE(SUBSTITUTE(SUBSTITUTE(SUBSTITUTE(SUBSTITUTE(SUBSTITUTE(SUBSTITUTE(B4,"{artist}",Inputs!$B$4),"{named}",Inputs!$B$28),"{work}",Inputs!$B$29),"{Work}",Inputs!$B$30),"{edition_phrase}",Inputs!$B$10),"{ordinal}",Inputs!$B$7),"{window}",Inputs!$B$13),"{launch_date}",Inputs!$B$14),"{launch_time}",Inputs!$B$15),"{close_date}",Inputs!$B$16),"{close_time}",Inputs!$B$17),"{beneficiary_tagged}",Inputs!$B$31),"{quote}",Inputs!$B$25),"{hashtag}",Inputs!$B$6)</f>
        <v/>
      </c>
    </row>
    <row r="5">
      <c r="A5" s="4" t="inlineStr">
        <is>
          <t>announce · status</t>
        </is>
      </c>
      <c r="B5" s="7" t="inlineStr">
        <is>
          <t>Announcing {work}, {edition_phrase} by {named}.</t>
        </is>
      </c>
      <c r="C5" s="9">
        <f>SUBSTITUTE(SUBSTITUTE(SUBSTITUTE(SUBSTITUTE(SUBSTITUTE(SUBSTITUTE(SUBSTITUTE(SUBSTITUTE(SUBSTITUTE(SUBSTITUTE(SUBSTITUTE(SUBSTITUTE(SUBSTITUTE(SUBSTITUTE(B5,"{artist}",Inputs!$B$4),"{named}",Inputs!$B$28),"{work}",Inputs!$B$29),"{Work}",Inputs!$B$30),"{edition_phrase}",Inputs!$B$10),"{ordinal}",Inputs!$B$7),"{window}",Inputs!$B$13),"{launch_date}",Inputs!$B$14),"{launch_time}",Inputs!$B$15),"{close_date}",Inputs!$B$16),"{close_time}",Inputs!$B$17),"{beneficiary_tagged}",Inputs!$B$31),"{quote}",Inputs!$B$25),"{hashtag}",Inputs!$B$6)</f>
        <v/>
      </c>
    </row>
    <row r="6">
      <c r="A6" s="4" t="inlineStr">
        <is>
          <t>announce · status, series</t>
        </is>
      </c>
      <c r="B6" s="7" t="inlineStr">
        <is>
          <t>Announcing {edition_phrase} by {named}, from {work}.</t>
        </is>
      </c>
      <c r="C6" s="9">
        <f>SUBSTITUTE(SUBSTITUTE(SUBSTITUTE(SUBSTITUTE(SUBSTITUTE(SUBSTITUTE(SUBSTITUTE(SUBSTITUTE(SUBSTITUTE(SUBSTITUTE(SUBSTITUTE(SUBSTITUTE(SUBSTITUTE(SUBSTITUTE(B6,"{artist}",Inputs!$B$4),"{named}",Inputs!$B$28),"{work}",Inputs!$B$29),"{Work}",Inputs!$B$30),"{edition_phrase}",Inputs!$B$10),"{ordinal}",Inputs!$B$7),"{window}",Inputs!$B$13),"{launch_date}",Inputs!$B$14),"{launch_time}",Inputs!$B$15),"{close_date}",Inputs!$B$16),"{close_time}",Inputs!$B$17),"{beneficiary_tagged}",Inputs!$B$31),"{quote}",Inputs!$B$25),"{hashtag}",Inputs!$B$6)</f>
        <v/>
      </c>
    </row>
    <row r="7">
      <c r="A7" s="4" t="inlineStr">
        <is>
          <t>sustain · status</t>
        </is>
      </c>
      <c r="B7" s="7" t="inlineStr">
        <is>
          <t>A closer look at {work}, {edition_phrase} by {named}.</t>
        </is>
      </c>
      <c r="C7" s="9">
        <f>SUBSTITUTE(SUBSTITUTE(SUBSTITUTE(SUBSTITUTE(SUBSTITUTE(SUBSTITUTE(SUBSTITUTE(SUBSTITUTE(SUBSTITUTE(SUBSTITUTE(SUBSTITUTE(SUBSTITUTE(SUBSTITUTE(SUBSTITUTE(B7,"{artist}",Inputs!$B$4),"{named}",Inputs!$B$28),"{work}",Inputs!$B$29),"{Work}",Inputs!$B$30),"{edition_phrase}",Inputs!$B$10),"{ordinal}",Inputs!$B$7),"{window}",Inputs!$B$13),"{launch_date}",Inputs!$B$14),"{launch_time}",Inputs!$B$15),"{close_date}",Inputs!$B$16),"{close_time}",Inputs!$B$17),"{beneficiary_tagged}",Inputs!$B$31),"{quote}",Inputs!$B$25),"{hashtag}",Inputs!$B$6)</f>
        <v/>
      </c>
    </row>
    <row r="8">
      <c r="A8" s="4" t="inlineStr">
        <is>
          <t>artist's words · status</t>
        </is>
      </c>
      <c r="B8" s="7" t="inlineStr">
        <is>
          <t>“{quote}” – {artist}</t>
        </is>
      </c>
      <c r="C8" s="9">
        <f>SUBSTITUTE(SUBSTITUTE(SUBSTITUTE(SUBSTITUTE(SUBSTITUTE(SUBSTITUTE(SUBSTITUTE(SUBSTITUTE(SUBSTITUTE(SUBSTITUTE(SUBSTITUTE(SUBSTITUTE(SUBSTITUTE(SUBSTITUTE(B8,"{artist}",Inputs!$B$4),"{named}",Inputs!$B$28),"{work}",Inputs!$B$29),"{Work}",Inputs!$B$30),"{edition_phrase}",Inputs!$B$10),"{ordinal}",Inputs!$B$7),"{window}",Inputs!$B$13),"{launch_date}",Inputs!$B$14),"{launch_time}",Inputs!$B$15),"{close_date}",Inputs!$B$16),"{close_time}",Inputs!$B$17),"{beneficiary_tagged}",Inputs!$B$31),"{quote}",Inputs!$B$25),"{hashtag}",Inputs!$B$6)</f>
        <v/>
      </c>
    </row>
    <row r="9">
      <c r="A9" s="4" t="inlineStr">
        <is>
          <t>artist's words · second line</t>
        </is>
      </c>
      <c r="B9" s="7" t="inlineStr">
        <is>
          <t>{Work}, {edition_phrase} by {named}.</t>
        </is>
      </c>
      <c r="C9" s="9">
        <f>SUBSTITUTE(SUBSTITUTE(SUBSTITUTE(SUBSTITUTE(SUBSTITUTE(SUBSTITUTE(SUBSTITUTE(SUBSTITUTE(SUBSTITUTE(SUBSTITUTE(SUBSTITUTE(SUBSTITUTE(SUBSTITUTE(SUBSTITUTE(B9,"{artist}",Inputs!$B$4),"{named}",Inputs!$B$28),"{work}",Inputs!$B$29),"{Work}",Inputs!$B$30),"{edition_phrase}",Inputs!$B$10),"{ordinal}",Inputs!$B$7),"{window}",Inputs!$B$13),"{launch_date}",Inputs!$B$14),"{launch_time}",Inputs!$B$15),"{close_date}",Inputs!$B$16),"{close_time}",Inputs!$B$17),"{beneficiary_tagged}",Inputs!$B$31),"{quote}",Inputs!$B$25),"{hashtag}",Inputs!$B$6)</f>
        <v/>
      </c>
    </row>
    <row r="10">
      <c r="A10" s="4" t="inlineStr">
        <is>
          <t>live · status</t>
        </is>
      </c>
      <c r="B10" s="7" t="inlineStr">
        <is>
          <t>{Work} by {named} is now available to collect, for {window} only.</t>
        </is>
      </c>
      <c r="C10" s="9">
        <f>SUBSTITUTE(SUBSTITUTE(SUBSTITUTE(SUBSTITUTE(SUBSTITUTE(SUBSTITUTE(SUBSTITUTE(SUBSTITUTE(SUBSTITUTE(SUBSTITUTE(SUBSTITUTE(SUBSTITUTE(SUBSTITUTE(SUBSTITUTE(B10,"{artist}",Inputs!$B$4),"{named}",Inputs!$B$28),"{work}",Inputs!$B$29),"{Work}",Inputs!$B$30),"{edition_phrase}",Inputs!$B$10),"{ordinal}",Inputs!$B$7),"{window}",Inputs!$B$13),"{launch_date}",Inputs!$B$14),"{launch_time}",Inputs!$B$15),"{close_date}",Inputs!$B$16),"{close_time}",Inputs!$B$17),"{beneficiary_tagged}",Inputs!$B$31),"{quote}",Inputs!$B$25),"{hashtag}",Inputs!$B$6)</f>
        <v/>
      </c>
    </row>
    <row r="11">
      <c r="A11" s="4" t="inlineStr">
        <is>
          <t>still time · status</t>
        </is>
      </c>
      <c r="B11" s="7" t="inlineStr">
        <is>
          <t>There's still time to collect {work} by {named}.</t>
        </is>
      </c>
      <c r="C11" s="9">
        <f>SUBSTITUTE(SUBSTITUTE(SUBSTITUTE(SUBSTITUTE(SUBSTITUTE(SUBSTITUTE(SUBSTITUTE(SUBSTITUTE(SUBSTITUTE(SUBSTITUTE(SUBSTITUTE(SUBSTITUTE(SUBSTITUTE(SUBSTITUTE(B11,"{artist}",Inputs!$B$4),"{named}",Inputs!$B$28),"{work}",Inputs!$B$29),"{Work}",Inputs!$B$30),"{edition_phrase}",Inputs!$B$10),"{ordinal}",Inputs!$B$7),"{window}",Inputs!$B$13),"{launch_date}",Inputs!$B$14),"{launch_time}",Inputs!$B$15),"{close_date}",Inputs!$B$16),"{close_time}",Inputs!$B$17),"{beneficiary_tagged}",Inputs!$B$31),"{quote}",Inputs!$B$25),"{hashtag}",Inputs!$B$6)</f>
        <v/>
      </c>
    </row>
    <row r="12">
      <c r="A12" s="4" t="inlineStr">
        <is>
          <t>last chance · status</t>
        </is>
      </c>
      <c r="B12" s="7" t="inlineStr">
        <is>
          <t>Last chance to collect {work} by {named}.</t>
        </is>
      </c>
      <c r="C12" s="9">
        <f>SUBSTITUTE(SUBSTITUTE(SUBSTITUTE(SUBSTITUTE(SUBSTITUTE(SUBSTITUTE(SUBSTITUTE(SUBSTITUTE(SUBSTITUTE(SUBSTITUTE(SUBSTITUTE(SUBSTITUTE(SUBSTITUTE(SUBSTITUTE(B12,"{artist}",Inputs!$B$4),"{named}",Inputs!$B$28),"{work}",Inputs!$B$29),"{Work}",Inputs!$B$30),"{edition_phrase}",Inputs!$B$10),"{ordinal}",Inputs!$B$7),"{window}",Inputs!$B$13),"{launch_date}",Inputs!$B$14),"{launch_time}",Inputs!$B$15),"{close_date}",Inputs!$B$16),"{close_time}",Inputs!$B$17),"{beneficiary_tagged}",Inputs!$B$31),"{quote}",Inputs!$B$25),"{hashtag}",Inputs!$B$6)</f>
        <v/>
      </c>
    </row>
    <row r="13">
      <c r="A13" s="4" t="inlineStr">
        <is>
          <t>last chance · status, draw</t>
        </is>
      </c>
      <c r="B13" s="7" t="inlineStr">
        <is>
          <t>Last chance to enter the draw for {work} by {named}.</t>
        </is>
      </c>
      <c r="C13" s="9">
        <f>SUBSTITUTE(SUBSTITUTE(SUBSTITUTE(SUBSTITUTE(SUBSTITUTE(SUBSTITUTE(SUBSTITUTE(SUBSTITUTE(SUBSTITUTE(SUBSTITUTE(SUBSTITUTE(SUBSTITUTE(SUBSTITUTE(SUBSTITUTE(B13,"{artist}",Inputs!$B$4),"{named}",Inputs!$B$28),"{work}",Inputs!$B$29),"{Work}",Inputs!$B$30),"{edition_phrase}",Inputs!$B$10),"{ordinal}",Inputs!$B$7),"{window}",Inputs!$B$13),"{launch_date}",Inputs!$B$14),"{launch_time}",Inputs!$B$15),"{close_date}",Inputs!$B$16),"{close_time}",Inputs!$B$17),"{beneficiary_tagged}",Inputs!$B$31),"{quote}",Inputs!$B$25),"{hashtag}",Inputs!$B$6)</f>
        <v/>
      </c>
    </row>
    <row r="14">
      <c r="A14" s="4" t="inlineStr">
        <is>
          <t>edition line</t>
        </is>
      </c>
      <c r="B14" s="7" t="inlineStr">
        <is>
          <t>Signed by the artist and individually numbered.</t>
        </is>
      </c>
      <c r="C14" s="9">
        <f>SUBSTITUTE(SUBSTITUTE(SUBSTITUTE(SUBSTITUTE(SUBSTITUTE(SUBSTITUTE(SUBSTITUTE(SUBSTITUTE(SUBSTITUTE(SUBSTITUTE(SUBSTITUTE(SUBSTITUTE(SUBSTITUTE(SUBSTITUTE(B14,"{artist}",Inputs!$B$4),"{named}",Inputs!$B$28),"{work}",Inputs!$B$29),"{Work}",Inputs!$B$30),"{edition_phrase}",Inputs!$B$10),"{ordinal}",Inputs!$B$7),"{window}",Inputs!$B$13),"{launch_date}",Inputs!$B$14),"{launch_time}",Inputs!$B$15),"{close_date}",Inputs!$B$16),"{close_time}",Inputs!$B$17),"{beneficiary_tagged}",Inputs!$B$31),"{quote}",Inputs!$B$25),"{hashtag}",Inputs!$B$6)</f>
        <v/>
      </c>
    </row>
    <row r="15">
      <c r="A15" s="4" t="inlineStr">
        <is>
          <t>edition line, several works</t>
        </is>
      </c>
      <c r="B15" s="7" t="inlineStr">
        <is>
          <t>Each print is signed by the artist and individually numbered.</t>
        </is>
      </c>
      <c r="C15" s="9">
        <f>SUBSTITUTE(SUBSTITUTE(SUBSTITUTE(SUBSTITUTE(SUBSTITUTE(SUBSTITUTE(SUBSTITUTE(SUBSTITUTE(SUBSTITUTE(SUBSTITUTE(SUBSTITUTE(SUBSTITUTE(SUBSTITUTE(SUBSTITUTE(B15,"{artist}",Inputs!$B$4),"{named}",Inputs!$B$28),"{work}",Inputs!$B$29),"{Work}",Inputs!$B$30),"{edition_phrase}",Inputs!$B$10),"{ordinal}",Inputs!$B$7),"{window}",Inputs!$B$13),"{launch_date}",Inputs!$B$14),"{launch_time}",Inputs!$B$15),"{close_date}",Inputs!$B$16),"{close_time}",Inputs!$B$17),"{beneficiary_tagged}",Inputs!$B$31),"{quote}",Inputs!$B$25),"{hashtag}",Inputs!$B$6)</f>
        <v/>
      </c>
    </row>
    <row r="16">
      <c r="A16" s="4" t="inlineStr">
        <is>
          <t>beneficiary line</t>
        </is>
      </c>
      <c r="B16" s="7" t="inlineStr">
        <is>
          <t>Released in support of {beneficiary_tagged}.</t>
        </is>
      </c>
      <c r="C16" s="9">
        <f>SUBSTITUTE(SUBSTITUTE(SUBSTITUTE(SUBSTITUTE(SUBSTITUTE(SUBSTITUTE(SUBSTITUTE(SUBSTITUTE(SUBSTITUTE(SUBSTITUTE(SUBSTITUTE(SUBSTITUTE(SUBSTITUTE(SUBSTITUTE(B16,"{artist}",Inputs!$B$4),"{named}",Inputs!$B$28),"{work}",Inputs!$B$29),"{Work}",Inputs!$B$30),"{edition_phrase}",Inputs!$B$10),"{ordinal}",Inputs!$B$7),"{window}",Inputs!$B$13),"{launch_date}",Inputs!$B$14),"{launch_time}",Inputs!$B$15),"{close_date}",Inputs!$B$16),"{close_time}",Inputs!$B$17),"{beneficiary_tagged}",Inputs!$B$31),"{quote}",Inputs!$B$25),"{hashtag}",Inputs!$B$6)</f>
        <v/>
      </c>
    </row>
    <row r="17">
      <c r="A17" s="4" t="inlineStr">
        <is>
          <t>deadline</t>
        </is>
      </c>
      <c r="B17" s="7" t="inlineStr">
        <is>
          <t>Closes {close_date} at {close_time}.</t>
        </is>
      </c>
      <c r="C17" s="9">
        <f>SUBSTITUTE(SUBSTITUTE(SUBSTITUTE(SUBSTITUTE(SUBSTITUTE(SUBSTITUTE(SUBSTITUTE(SUBSTITUTE(SUBSTITUTE(SUBSTITUTE(SUBSTITUTE(SUBSTITUTE(SUBSTITUTE(SUBSTITUTE(B17,"{artist}",Inputs!$B$4),"{named}",Inputs!$B$28),"{work}",Inputs!$B$29),"{Work}",Inputs!$B$30),"{edition_phrase}",Inputs!$B$10),"{ordinal}",Inputs!$B$7),"{window}",Inputs!$B$13),"{launch_date}",Inputs!$B$14),"{launch_time}",Inputs!$B$15),"{close_date}",Inputs!$B$16),"{close_time}",Inputs!$B$17),"{beneficiary_tagged}",Inputs!$B$31),"{quote}",Inputs!$B$25),"{hashtag}",Inputs!$B$6)</f>
        <v/>
      </c>
    </row>
    <row r="18">
      <c r="A18" s="4" t="inlineStr">
        <is>
          <t>action before launch, timed</t>
        </is>
      </c>
      <c r="B18" s="7" t="inlineStr">
        <is>
          <t>Available for {window} from {launch_time} on {launch_date}. Link in bio to get updates.</t>
        </is>
      </c>
      <c r="C18" s="9">
        <f>SUBSTITUTE(SUBSTITUTE(SUBSTITUTE(SUBSTITUTE(SUBSTITUTE(SUBSTITUTE(SUBSTITUTE(SUBSTITUTE(SUBSTITUTE(SUBSTITUTE(SUBSTITUTE(SUBSTITUTE(SUBSTITUTE(SUBSTITUTE(B18,"{artist}",Inputs!$B$4),"{named}",Inputs!$B$28),"{work}",Inputs!$B$29),"{Work}",Inputs!$B$30),"{edition_phrase}",Inputs!$B$10),"{ordinal}",Inputs!$B$7),"{window}",Inputs!$B$13),"{launch_date}",Inputs!$B$14),"{launch_time}",Inputs!$B$15),"{close_date}",Inputs!$B$16),"{close_time}",Inputs!$B$17),"{beneficiary_tagged}",Inputs!$B$31),"{quote}",Inputs!$B$25),"{hashtag}",Inputs!$B$6)</f>
        <v/>
      </c>
    </row>
    <row r="19">
      <c r="A19" s="4" t="inlineStr">
        <is>
          <t>action before launch, draw</t>
        </is>
      </c>
      <c r="B19" s="7" t="inlineStr">
        <is>
          <t>Enter the draw via our link in bio. Closes {close_date} at {close_time}.</t>
        </is>
      </c>
      <c r="C19" s="9">
        <f>SUBSTITUTE(SUBSTITUTE(SUBSTITUTE(SUBSTITUTE(SUBSTITUTE(SUBSTITUTE(SUBSTITUTE(SUBSTITUTE(SUBSTITUTE(SUBSTITUTE(SUBSTITUTE(SUBSTITUTE(SUBSTITUTE(SUBSTITUTE(B19,"{artist}",Inputs!$B$4),"{named}",Inputs!$B$28),"{work}",Inputs!$B$29),"{Work}",Inputs!$B$30),"{edition_phrase}",Inputs!$B$10),"{ordinal}",Inputs!$B$7),"{window}",Inputs!$B$13),"{launch_date}",Inputs!$B$14),"{launch_time}",Inputs!$B$15),"{close_date}",Inputs!$B$16),"{close_time}",Inputs!$B$17),"{beneficiary_tagged}",Inputs!$B$31),"{quote}",Inputs!$B$25),"{hashtag}",Inputs!$B$6)</f>
        <v/>
      </c>
    </row>
    <row r="20">
      <c r="A20" s="4" t="inlineStr">
        <is>
          <t>action while open, timed</t>
        </is>
      </c>
      <c r="B20" s="7" t="inlineStr">
        <is>
          <t>Link in bio to buy a print. Closes {close_date} at {close_time}.</t>
        </is>
      </c>
      <c r="C20" s="9">
        <f>SUBSTITUTE(SUBSTITUTE(SUBSTITUTE(SUBSTITUTE(SUBSTITUTE(SUBSTITUTE(SUBSTITUTE(SUBSTITUTE(SUBSTITUTE(SUBSTITUTE(SUBSTITUTE(SUBSTITUTE(SUBSTITUTE(SUBSTITUTE(B20,"{artist}",Inputs!$B$4),"{named}",Inputs!$B$28),"{work}",Inputs!$B$29),"{Work}",Inputs!$B$30),"{edition_phrase}",Inputs!$B$10),"{ordinal}",Inputs!$B$7),"{window}",Inputs!$B$13),"{launch_date}",Inputs!$B$14),"{launch_time}",Inputs!$B$15),"{close_date}",Inputs!$B$16),"{close_time}",Inputs!$B$17),"{beneficiary_tagged}",Inputs!$B$31),"{quote}",Inputs!$B$25),"{hashtag}",Inputs!$B$6)</f>
        <v/>
      </c>
    </row>
    <row r="21">
      <c r="A21" s="4" t="inlineStr">
        <is>
          <t>action while open, draw</t>
        </is>
      </c>
      <c r="B21" s="7" t="inlineStr">
        <is>
          <t>Enter the draw via our link in bio. Closes {close_date} at {close_time}.</t>
        </is>
      </c>
      <c r="C21" s="9">
        <f>SUBSTITUTE(SUBSTITUTE(SUBSTITUTE(SUBSTITUTE(SUBSTITUTE(SUBSTITUTE(SUBSTITUTE(SUBSTITUTE(SUBSTITUTE(SUBSTITUTE(SUBSTITUTE(SUBSTITUTE(SUBSTITUTE(SUBSTITUTE(B21,"{artist}",Inputs!$B$4),"{named}",Inputs!$B$28),"{work}",Inputs!$B$29),"{Work}",Inputs!$B$30),"{edition_phrase}",Inputs!$B$10),"{ordinal}",Inputs!$B$7),"{window}",Inputs!$B$13),"{launch_date}",Inputs!$B$14),"{launch_time}",Inputs!$B$15),"{close_date}",Inputs!$B$16),"{close_time}",Inputs!$B$17),"{beneficiary_tagged}",Inputs!$B$31),"{quote}",Inputs!$B$25),"{hashtag}",Inputs!$B$6)</f>
        <v/>
      </c>
    </row>
    <row r="22">
      <c r="A22" s="4" t="inlineStr">
        <is>
          <t>coming soon · action</t>
        </is>
      </c>
      <c r="B22" s="7" t="inlineStr">
        <is>
          <t>Link in bio to get updates.</t>
        </is>
      </c>
      <c r="C22" s="9">
        <f>SUBSTITUTE(SUBSTITUTE(SUBSTITUTE(SUBSTITUTE(SUBSTITUTE(SUBSTITUTE(SUBSTITUTE(SUBSTITUTE(SUBSTITUTE(SUBSTITUTE(SUBSTITUTE(SUBSTITUTE(SUBSTITUTE(SUBSTITUTE(B22,"{artist}",Inputs!$B$4),"{named}",Inputs!$B$28),"{work}",Inputs!$B$29),"{Work}",Inputs!$B$30),"{edition_phrase}",Inputs!$B$10),"{ordinal}",Inputs!$B$7),"{window}",Inputs!$B$13),"{launch_date}",Inputs!$B$14),"{launch_time}",Inputs!$B$15),"{close_date}",Inputs!$B$16),"{close_time}",Inputs!$B$17),"{beneficiary_tagged}",Inputs!$B$31),"{quote}",Inputs!$B$25),"{hashtag}",Inputs!$B$6)</f>
        <v/>
      </c>
    </row>
    <row r="23">
      <c r="A23" s="4" t="inlineStr">
        <is>
          <t>hashtag</t>
        </is>
      </c>
      <c r="B23" s="7" t="inlineStr">
        <is>
          <t>#{hashtag}</t>
        </is>
      </c>
      <c r="C23" s="9">
        <f>SUBSTITUTE(SUBSTITUTE(SUBSTITUTE(SUBSTITUTE(SUBSTITUTE(SUBSTITUTE(SUBSTITUTE(SUBSTITUTE(SUBSTITUTE(SUBSTITUTE(SUBSTITUTE(SUBSTITUTE(SUBSTITUTE(SUBSTITUTE(B23,"{artist}",Inputs!$B$4),"{named}",Inputs!$B$28),"{work}",Inputs!$B$29),"{Work}",Inputs!$B$30),"{edition_phrase}",Inputs!$B$10),"{ordinal}",Inputs!$B$7),"{window}",Inputs!$B$13),"{launch_date}",Inputs!$B$14),"{launch_time}",Inputs!$B$15),"{close_date}",Inputs!$B$16),"{close_time}",Inputs!$B$17),"{beneficiary_tagged}",Inputs!$B$31),"{quote}",Inputs!$B$25),"{hashtag}",Inputs!$B$6)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44" customWidth="1" min="4" max="4"/>
    <col width="56" customWidth="1" min="5" max="5"/>
    <col width="40" customWidth="1" min="6" max="6"/>
    <col width="44" customWidth="1" min="7" max="7"/>
    <col width="14" customWidth="1" min="8" max="8"/>
    <col width="92" customWidth="1" min="9" max="9"/>
    <col width="11" customWidth="1" min="10" max="10"/>
  </cols>
  <sheetData>
    <row r="1">
      <c r="A1" s="1" t="inlineStr">
        <is>
          <t>The posts, assembled</t>
        </is>
      </c>
    </row>
    <row r="2">
      <c r="A2" s="2" t="inlineStr">
        <is>
          <t>Every cell below is a formula over Inputs and Lines. Skeleton: status line · substance · edition line · action line · hashtag. Coming Soon opens with the bio instead.</t>
        </is>
      </c>
    </row>
    <row r="3">
      <c r="A3" s="3" t="inlineStr">
        <is>
          <t>#</t>
        </is>
      </c>
      <c r="B3" s="3" t="inlineStr">
        <is>
          <t>Post</t>
        </is>
      </c>
      <c r="C3" s="3" t="inlineStr">
        <is>
          <t>Made of</t>
        </is>
      </c>
      <c r="D3" s="3" t="inlineStr">
        <is>
          <t>Status line</t>
        </is>
      </c>
      <c r="E3" s="3" t="inlineStr">
        <is>
          <t>Substance</t>
        </is>
      </c>
      <c r="F3" s="3" t="inlineStr">
        <is>
          <t>Edition line</t>
        </is>
      </c>
      <c r="G3" s="3" t="inlineStr">
        <is>
          <t>Action line</t>
        </is>
      </c>
      <c r="H3" s="3" t="inlineStr">
        <is>
          <t>Hashtag</t>
        </is>
      </c>
      <c r="I3" s="3" t="inlineStr">
        <is>
          <t>Caption</t>
        </is>
      </c>
      <c r="J3" s="3" t="inlineStr">
        <is>
          <t>Characters</t>
        </is>
      </c>
    </row>
    <row r="4" ht="190" customHeight="1">
      <c r="A4" s="10" t="n">
        <v>1</v>
      </c>
      <c r="B4" s="10" t="inlineStr">
        <is>
          <t>coming soon</t>
        </is>
      </c>
      <c r="C4" s="10" t="inlineStr">
        <is>
          <t>bio · status · action</t>
        </is>
      </c>
      <c r="D4" s="10">
        <f>Lines!$C$4</f>
        <v/>
      </c>
      <c r="E4" s="10">
        <f>Inputs!$B$32</f>
        <v/>
      </c>
      <c r="F4" s="10">
        <f>""</f>
        <v/>
      </c>
      <c r="G4" s="10">
        <f>Lines!$C$22</f>
        <v/>
      </c>
      <c r="H4" s="10">
        <f>""</f>
        <v/>
      </c>
      <c r="I4" s="10">
        <f>E4&amp;IF(D4="","",CHAR(10)&amp;CHAR(10)&amp;D4)&amp;IF(G4="","",CHAR(10)&amp;CHAR(10)&amp;G4)</f>
        <v/>
      </c>
      <c r="J4" s="10">
        <f>LEN(I4)</f>
        <v/>
      </c>
    </row>
    <row r="5" ht="190" customHeight="1">
      <c r="A5" s="10" t="n">
        <v>2</v>
      </c>
      <c r="B5" s="10" t="inlineStr">
        <is>
          <t>announce</t>
        </is>
      </c>
      <c r="C5" s="10" t="inlineStr">
        <is>
          <t>status · hook · edition · action · hashtag</t>
        </is>
      </c>
      <c r="D5" s="10">
        <f>IF(Inputs!$B$9="yes",Lines!$C$6,Lines!$C$5)</f>
        <v/>
      </c>
      <c r="E5" s="10">
        <f>Inputs!$B$33</f>
        <v/>
      </c>
      <c r="F5" s="10">
        <f>IF(Inputs!$B$11&gt;1,Lines!$C$15,Lines!$C$14)&amp;IF(Inputs!$B$34,"",IF(Inputs!$B$31="",""," "&amp;Lines!$C$16))</f>
        <v/>
      </c>
      <c r="G5" s="10">
        <f>IF(Inputs!$B$12="draw",Lines!$C$19,Lines!$C$18)</f>
        <v/>
      </c>
      <c r="H5" s="10">
        <f>IF(Inputs!$B$6="","",Lines!$C$23)</f>
        <v/>
      </c>
      <c r="I5" s="10">
        <f>D5&amp;IF(E5="","",CHAR(10)&amp;CHAR(10)&amp;E5)&amp;IF(F5="","",CHAR(10)&amp;CHAR(10)&amp;F5)&amp;IF(G5="","",CHAR(10)&amp;CHAR(10)&amp;G5)&amp;IF(H5="","",CHAR(10)&amp;CHAR(10)&amp;H5)</f>
        <v/>
      </c>
      <c r="J5" s="10">
        <f>LEN(I5)</f>
        <v/>
      </c>
    </row>
    <row r="6" ht="120" customHeight="1">
      <c r="A6" s="10" t="n">
        <v>3</v>
      </c>
      <c r="B6" s="10" t="inlineStr">
        <is>
          <t>sustain</t>
        </is>
      </c>
      <c r="C6" s="10" t="inlineStr">
        <is>
          <t>status · making · edition + beneficiary · action</t>
        </is>
      </c>
      <c r="D6" s="10">
        <f>Lines!$C$7</f>
        <v/>
      </c>
      <c r="E6" s="10">
        <f>Inputs!$B$24</f>
        <v/>
      </c>
      <c r="F6" s="10">
        <f>IF(Inputs!$B$11&gt;1,Lines!$C$15,Lines!$C$14)&amp;IF(Inputs!$B$31="",""," "&amp;Lines!$C$16)</f>
        <v/>
      </c>
      <c r="G6" s="10">
        <f>IF(Inputs!$B$12="draw",Lines!$C$19,Lines!$C$18)</f>
        <v/>
      </c>
      <c r="H6" s="10">
        <f>""</f>
        <v/>
      </c>
      <c r="I6" s="10">
        <f>D6&amp;IF(E6="","",CHAR(10)&amp;CHAR(10)&amp;E6)&amp;IF(F6="","",CHAR(10)&amp;CHAR(10)&amp;F6)&amp;IF(G6="","",CHAR(10)&amp;CHAR(10)&amp;G6)</f>
        <v/>
      </c>
      <c r="J6" s="10">
        <f>LEN(I6)</f>
        <v/>
      </c>
    </row>
    <row r="7" ht="120" customHeight="1">
      <c r="A7" s="10" t="n">
        <v>4</v>
      </c>
      <c r="B7" s="10" t="inlineStr">
        <is>
          <t>sustain, the artist's words</t>
        </is>
      </c>
      <c r="C7" s="10" t="inlineStr">
        <is>
          <t>quote · status · edition + beneficiary · action</t>
        </is>
      </c>
      <c r="D7" s="10">
        <f>IF(Inputs!$B$25="","(no quote given, post skipped)",Lines!$C$8)</f>
        <v/>
      </c>
      <c r="E7" s="10">
        <f>IF(Inputs!$B$25="","",Lines!$C$9)</f>
        <v/>
      </c>
      <c r="F7" s="10">
        <f>IF(Inputs!$B$25="","",IF(Inputs!$B$11&gt;1,Lines!$C$15,Lines!$C$14)&amp;IF(Inputs!$B$31="",""," "&amp;Lines!$C$16))</f>
        <v/>
      </c>
      <c r="G7" s="10">
        <f>IF(Inputs!$B$25="","",IF(Inputs!$B$12="draw",Lines!$C$19,Lines!$C$18))</f>
        <v/>
      </c>
      <c r="H7" s="10">
        <f>""</f>
        <v/>
      </c>
      <c r="I7" s="10">
        <f>IF(Inputs!$B$25="","(no quote given, post skipped)",D7&amp;IF(E7="","",CHAR(10)&amp;CHAR(10)&amp;E7)&amp;IF(F7="","",CHAR(10)&amp;CHAR(10)&amp;F7)&amp;IF(G7="","",CHAR(10)&amp;CHAR(10)&amp;G7))</f>
        <v/>
      </c>
      <c r="J7" s="10">
        <f>LEN(I7)</f>
        <v/>
      </c>
    </row>
    <row r="8" ht="120" customHeight="1">
      <c r="A8" s="10" t="n">
        <v>5</v>
      </c>
      <c r="B8" s="10" t="inlineStr">
        <is>
          <t>live (timed only)</t>
        </is>
      </c>
      <c r="C8" s="10" t="inlineStr">
        <is>
          <t>status · edition + beneficiary · action</t>
        </is>
      </c>
      <c r="D8" s="10">
        <f>IF(Inputs!$B$12="draw","(not used for a draw)",Lines!$C$10)</f>
        <v/>
      </c>
      <c r="E8" s="10">
        <f>""</f>
        <v/>
      </c>
      <c r="F8" s="10">
        <f>IF(Inputs!$B$12="draw","",IF(Inputs!$B$11&gt;1,Lines!$C$15,Lines!$C$14)&amp;IF(Inputs!$B$31="",""," "&amp;Lines!$C$16))</f>
        <v/>
      </c>
      <c r="G8" s="10">
        <f>IF(Inputs!$B$12="draw","",IF(Inputs!$B$12="draw",Lines!$C$21,Lines!$C$20))</f>
        <v/>
      </c>
      <c r="H8" s="10">
        <f>""</f>
        <v/>
      </c>
      <c r="I8" s="10">
        <f>IF(Inputs!$B$12="draw","(not used for a draw)",D8&amp;IF(F8="","",CHAR(10)&amp;CHAR(10)&amp;F8)&amp;IF(G8="","",CHAR(10)&amp;CHAR(10)&amp;G8))</f>
        <v/>
      </c>
      <c r="J8" s="10">
        <f>LEN(I8)</f>
        <v/>
      </c>
    </row>
    <row r="9" ht="120" customHeight="1">
      <c r="A9" s="10" t="n">
        <v>6</v>
      </c>
      <c r="B9" s="10" t="inlineStr">
        <is>
          <t>still time (timed only)</t>
        </is>
      </c>
      <c r="C9" s="10" t="inlineStr">
        <is>
          <t>status · edition + beneficiary · action</t>
        </is>
      </c>
      <c r="D9" s="10">
        <f>IF(Inputs!$B$12="draw","(not used for a draw)",Lines!$C$11)</f>
        <v/>
      </c>
      <c r="E9" s="10">
        <f>""</f>
        <v/>
      </c>
      <c r="F9" s="10">
        <f>IF(Inputs!$B$12="draw","",IF(Inputs!$B$11&gt;1,Lines!$C$15,Lines!$C$14)&amp;IF(Inputs!$B$31="",""," "&amp;Lines!$C$16))</f>
        <v/>
      </c>
      <c r="G9" s="10">
        <f>IF(Inputs!$B$12="draw","",IF(Inputs!$B$12="draw",Lines!$C$21,Lines!$C$20))</f>
        <v/>
      </c>
      <c r="H9" s="10">
        <f>""</f>
        <v/>
      </c>
      <c r="I9" s="10">
        <f>IF(Inputs!$B$12="draw","(not used for a draw)",D9&amp;IF(F9="","",CHAR(10)&amp;CHAR(10)&amp;F9)&amp;IF(G9="","",CHAR(10)&amp;CHAR(10)&amp;G9))</f>
        <v/>
      </c>
      <c r="J9" s="10">
        <f>LEN(I9)</f>
        <v/>
      </c>
    </row>
    <row r="10" ht="120" customHeight="1">
      <c r="A10" s="10" t="n">
        <v>7</v>
      </c>
      <c r="B10" s="10" t="inlineStr">
        <is>
          <t>last chance</t>
        </is>
      </c>
      <c r="C10" s="10" t="inlineStr">
        <is>
          <t>status · edition + beneficiary · action</t>
        </is>
      </c>
      <c r="D10" s="10">
        <f>IF(Inputs!$B$12="draw",Lines!$C$13,Lines!$C$12)</f>
        <v/>
      </c>
      <c r="E10" s="10">
        <f>""</f>
        <v/>
      </c>
      <c r="F10" s="10">
        <f>IF(Inputs!$B$11&gt;1,Lines!$C$15,Lines!$C$14)&amp;IF(Inputs!$B$31="",""," "&amp;Lines!$C$16)</f>
        <v/>
      </c>
      <c r="G10" s="10">
        <f>IF(Inputs!$B$12="draw",Lines!$C$21,Lines!$C$20)</f>
        <v/>
      </c>
      <c r="H10" s="10">
        <f>""</f>
        <v/>
      </c>
      <c r="I10" s="10">
        <f>D10&amp;IF(F10="","",CHAR(10)&amp;CHAR(10)&amp;F10)&amp;IF(G10="","",CHAR(10)&amp;CHAR(10)&amp;G10)</f>
        <v/>
      </c>
      <c r="J10" s="10">
        <f>LEN(I10)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110" customWidth="1" min="2" max="2"/>
  </cols>
  <sheetData>
    <row r="1">
      <c r="A1" s="1" t="inlineStr">
        <is>
          <t>The system on one page</t>
        </is>
      </c>
    </row>
    <row r="3" ht="32" customHeight="1">
      <c r="A3" s="11" t="inlineStr">
        <is>
          <t>Skeleton</t>
        </is>
      </c>
      <c r="B3" s="9" t="inlineStr">
        <is>
          <t>Every post is: status line, substance, edition line, action line, and a hashtag on the announcement only. Coming Soon opens with the bio because the bio names the artist.</t>
        </is>
      </c>
    </row>
    <row r="4" ht="32" customHeight="1">
      <c r="A4" s="11" t="inlineStr">
        <is>
          <t>Status lines</t>
        </is>
      </c>
      <c r="B4" s="9" t="inlineStr">
        <is>
          <t>One fixed sentence per phase, on the Lines sheet: coming soon, announce, sustain, the artist's words, live, still time, last chance.</t>
        </is>
      </c>
    </row>
    <row r="5" ht="32" customHeight="1">
      <c r="A5" s="11" t="inlineStr">
        <is>
          <t>Substance</t>
        </is>
      </c>
      <c r="B5" s="9" t="inlineStr">
        <is>
          <t>Coming soon takes the bio. Announce takes the hook. Sustain takes the making line, then the quote as a second post. Live and closing posts take nothing.</t>
        </is>
      </c>
    </row>
    <row r="6" ht="32" customHeight="1">
      <c r="A6" s="11" t="inlineStr">
        <is>
          <t>Edition line</t>
        </is>
      </c>
      <c r="B6" s="9" t="inlineStr">
        <is>
          <t>Signed by the artist and individually numbered. The beneficiary is named once per post: in the edition line unless the hook already names it.</t>
        </is>
      </c>
    </row>
    <row r="7" ht="32" customHeight="1">
      <c r="A7" s="11" t="inlineStr">
        <is>
          <t>Action line</t>
        </is>
      </c>
      <c r="B7" s="9" t="inlineStr">
        <is>
          <t>Three CTAs only: get updates before launch, enter the draw for a draw, buy a print for an open window. One deadline form: Closes {date} at {time} UK time.</t>
        </is>
      </c>
    </row>
    <row r="8" ht="32" customHeight="1">
      <c r="A8" s="11" t="inlineStr">
        <is>
          <t>Fragments</t>
        </is>
      </c>
      <c r="B8" s="9" t="inlineStr">
        <is>
          <t>Three per release, written once: bio (2 to 3 sentences), hook (1 to 2 sentences, shared with the email), making (one sentence naming Make-Ready). The quote is verbatim.</t>
        </is>
      </c>
    </row>
    <row r="9" ht="32" customHeight="1">
      <c r="A9" s="11" t="inlineStr">
        <is>
          <t>Rule 1</t>
        </is>
      </c>
      <c r="B9" s="9" t="inlineStr">
        <is>
          <t>The artist's handle follows the first mention of their name in each post. The beneficiary is tagged where named.</t>
        </is>
      </c>
    </row>
    <row r="10" ht="32" customHeight="1">
      <c r="A10" s="11" t="inlineStr">
        <is>
          <t>Rule 2</t>
        </is>
      </c>
      <c r="B10" s="9" t="inlineStr">
        <is>
          <t>A series with one shared title is called "the {series} series".</t>
        </is>
      </c>
    </row>
    <row r="11" ht="32" customHeight="1">
      <c r="A11" s="11" t="inlineStr">
        <is>
          <t>Rule 3</t>
        </is>
      </c>
      <c r="B11" s="9" t="inlineStr">
        <is>
          <t>Titles in single curly quotes. 14:00 UK time. 30 April. one week or 48 hours.</t>
        </is>
      </c>
    </row>
    <row r="12" ht="32" customHeight="1">
      <c r="A12" s="11" t="inlineStr">
        <is>
          <t>Rule 4</t>
        </is>
      </c>
      <c r="B12" s="9" t="inlineStr">
        <is>
          <t>No URLs, no emoji, no exclamation marks.</t>
        </is>
      </c>
    </row>
    <row r="13" ht="32" customHeight="1">
      <c r="A13" s="11" t="inlineStr">
        <is>
          <t>Rule 5</t>
        </is>
      </c>
      <c r="B13" s="9" t="inlineStr">
        <is>
          <t>The quote must be a complete sentence, or the post is skipped.</t>
        </is>
      </c>
    </row>
    <row r="14" ht="32" customHeight="1">
      <c r="A14" s="11" t="inlineStr">
        <is>
          <t>Rule 6</t>
        </is>
      </c>
      <c r="B14" s="9" t="inlineStr">
        <is>
          <t>Anything editorial (a reel, an event tie-in) is written outside the system and borrows only the edition and action lines.</t>
        </is>
      </c>
    </row>
    <row r="15" ht="32" customHeight="1">
      <c r="A15" s="11" t="inlineStr">
        <is>
          <t>How to use</t>
        </is>
      </c>
      <c r="B15" s="9" t="inlineStr">
        <is>
          <t>Fill the blue cells on Inputs. Read the Posts sheet.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2026-09-11T15:59:17Z</dcterms:created>
  <dcterms:modified xsi:type="dcterms:W3CDTF">2026-09-11T15:59:17Z</dcterms:modified>
</cp:coreProperties>
</file>