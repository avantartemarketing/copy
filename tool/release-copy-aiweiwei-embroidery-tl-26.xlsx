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Ai Weiwei</t>
        </is>
      </c>
      <c r="C4" s="2" t="inlineStr">
        <is>
          <t>full name: the works are 'by' this name</t>
        </is>
      </c>
    </row>
    <row r="5">
      <c r="A5" s="4" t="inlineStr">
        <is>
          <t>collab_with</t>
        </is>
      </c>
      <c r="B5" s="5" t="inlineStr">
        <is>
          <t>Ai Weiwei</t>
        </is>
      </c>
      <c r="C5" s="2" t="inlineStr">
        <is>
          <t>the words after 'collaboration with': usually the name, or the estate</t>
        </is>
      </c>
    </row>
    <row r="6">
      <c r="A6" s="4" t="inlineStr">
        <is>
          <t>handle</t>
        </is>
      </c>
      <c r="B6" s="5" t="inlineStr">
        <is>
          <t>aiww</t>
        </is>
      </c>
      <c r="C6" s="2" t="inlineStr">
        <is>
          <t>Instagram handle, blank if none</t>
        </is>
      </c>
    </row>
    <row r="7">
      <c r="A7" s="4" t="inlineStr">
        <is>
          <t>x_handle</t>
        </is>
      </c>
      <c r="B7" s="5" t="inlineStr">
        <is>
          <t>aiww</t>
        </is>
      </c>
      <c r="C7" s="2" t="inlineStr">
        <is>
          <t>X (Twitter) handle, blank if none</t>
        </is>
      </c>
    </row>
    <row r="8">
      <c r="A8" s="4" t="inlineStr">
        <is>
          <t>link</t>
        </is>
      </c>
      <c r="B8" s="5" t="inlineStr">
        <is>
          <t>https://avantarte.co/ai-weiwei-2026</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Self-Portrait Embroidery</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a quartet of new limited edition embroideries</t>
        </is>
      </c>
      <c r="C15" s="2" t="inlineStr">
        <is>
          <t>e.g. a new limited edition print; a quartet of new limited edition embroideries; a new limited edition print in four colourways</t>
        </is>
      </c>
    </row>
    <row r="16">
      <c r="A16" s="4" t="inlineStr">
        <is>
          <t>works</t>
        </is>
      </c>
      <c r="B16" s="5" t="n">
        <v>4</v>
      </c>
      <c r="C16" s="2" t="inlineStr">
        <is>
          <t>number of artworks: sets the plural wording</t>
        </is>
      </c>
    </row>
    <row r="17">
      <c r="A17" s="4" t="inlineStr">
        <is>
          <t>unit</t>
        </is>
      </c>
      <c r="B17" s="5" t="inlineStr">
        <is>
          <t>embroidery</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one week</t>
        </is>
      </c>
      <c r="C19" s="2" t="inlineStr">
        <is>
          <t>48 hours or one week; timed only</t>
        </is>
      </c>
    </row>
    <row r="20">
      <c r="A20" s="4" t="inlineStr">
        <is>
          <t>launch_at</t>
        </is>
      </c>
      <c r="B20" s="6" t="n">
        <v>46050.58333333334</v>
      </c>
      <c r="C20" s="2" t="inlineStr">
        <is>
          <t>date and time the window opens, or the draw opens (UK)</t>
        </is>
      </c>
    </row>
    <row r="21">
      <c r="A21" s="4" t="inlineStr">
        <is>
          <t>closes_at</t>
        </is>
      </c>
      <c r="B21" s="6" t="n">
        <v>46057.58333333334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Framed</t>
        </is>
      </c>
      <c r="C28" s="2" t="inlineStr">
        <is>
          <t>the standard three; clear a cell to drop it</t>
        </is>
      </c>
    </row>
    <row r="29">
      <c r="A29" s="4" t="inlineStr">
        <is>
          <t>feature_2</t>
        </is>
      </c>
      <c r="B29" s="5" t="inlineStr">
        <is>
          <t>Signed by the artist via a sticker at the back</t>
        </is>
      </c>
      <c r="C29" s="2" t="inlineStr"/>
    </row>
    <row r="30">
      <c r="A30" s="4" t="inlineStr">
        <is>
          <t>feature_3</t>
        </is>
      </c>
      <c r="B30" s="5" t="inlineStr">
        <is>
          <t>Individually numbered</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is>
          <t>Available individually, in pairs or as a complete quartet</t>
        </is>
      </c>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Ai Weiwei is one of the most influential artists and activists of his generation. Across sculpture, installation, photography and film, his work confronts power, freedom and the individual's place within the state.</t>
        </is>
      </c>
      <c r="C35" s="9" t="inlineStr">
        <is>
          <t>2 to 3 sentences on the artist, third person, no handle. Coming Soon post only.</t>
        </is>
      </c>
    </row>
    <row r="36" ht="80" customHeight="1">
      <c r="A36" s="4" t="inlineStr">
        <is>
          <t>hook</t>
        </is>
      </c>
      <c r="B36" s="8" t="inlineStr">
        <is>
          <t>Self-Portrait Embroidery pixelates an image of the artist with a shaved head and a scar, the result of police brutality following a Citizens' Investigation he led into the 2008 earthquake in Sichuan. The defiant self-portrait becomes four textile works of approximately 460,000 stitches each, in the pixelated style of his 2016 toy brick works.</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is>
          <t>, offered individually, in pairs or as a complete quartet</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48" customHeight="1">
      <c r="A38" s="4" t="inlineStr">
        <is>
          <t>making</t>
        </is>
      </c>
      <c r="B38" s="8" t="inlineStr">
        <is>
          <t>Each embroidery was produced in close collaboration with the artist, translating the pixelated texture and bold presence of the original toy brick works into approximately 460,000 stitches.</t>
        </is>
      </c>
      <c r="C38" s="9" t="inlineStr">
        <is>
          <t>one sentence on how the edition was made; write 'printmakers at Make-Ready' and the sheet adds 'our'.</t>
        </is>
      </c>
    </row>
    <row r="39" ht="32" customHeight="1">
      <c r="A39" s="4" t="inlineStr">
        <is>
          <t>card_line_1</t>
        </is>
      </c>
      <c r="B39" s="8" t="inlineStr">
        <is>
          <t>The artist's defiant self-portrait, first made in toy bricks in 2016, rendered in approximately 460,000 stitches and offered in four colour combinations.</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c r="C40" s="9" t="inlineStr">
        <is>
          <t>the second titled work; blank otherwise</t>
        </is>
      </c>
    </row>
    <row r="41" ht="32" customHeight="1">
      <c r="A41" s="4" t="inlineStr">
        <is>
          <t>card_line_3</t>
        </is>
      </c>
      <c r="B41" s="8" t="inlineStr"/>
      <c r="C41" s="9" t="inlineStr">
        <is>
          <t>the third; blank otherwise</t>
        </is>
      </c>
    </row>
    <row r="42" ht="32" customHeight="1">
      <c r="A42" s="4" t="inlineStr">
        <is>
          <t>quote</t>
        </is>
      </c>
      <c r="B42" s="8" t="inlineStr"/>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IF($B$14&lt;&gt;"","the "&amp;$B$14&amp;" series",IF($B$12="","‘"&amp;$B$11&amp;"’",IF($B$13="","‘"&amp;$B$11&amp;"’ and ‘"&amp;$B$12&amp;"’","‘"&amp;$B$11&amp;"’, ‘"&amp;$B$12&amp;"’ and ‘"&amp;$B$13&amp;"’")))</f>
        <v/>
      </c>
    </row>
    <row r="50">
      <c r="A50" s="4" t="inlineStr">
        <is>
          <t>Work</t>
        </is>
      </c>
      <c r="B50" s="10">
        <f>UPPER(LEFT($B$49,1))&amp;MID($B$49,2,999)</f>
        <v/>
      </c>
    </row>
    <row r="51">
      <c r="A51" s="4" t="inlineStr">
        <is>
          <t>work_email</t>
        </is>
      </c>
      <c r="B51" s="10">
        <f>IF($B$14&lt;&gt;"","the "&amp;$B$14&amp;" series",IF($B$12="",$B$11,IF($B$13="",$B$11&amp;" and "&amp;$B$12,$B$11&amp;", "&amp;$B$12&amp;" and "&amp;$B$13)))</f>
        <v/>
      </c>
    </row>
    <row r="52">
      <c r="A52" s="4" t="inlineStr">
        <is>
          <t>Work_email</t>
        </is>
      </c>
      <c r="B52" s="10">
        <f>UPPER(LEFT($B$51,1))&amp;MID($B$51,2,999)</f>
        <v/>
      </c>
    </row>
    <row r="53">
      <c r="A53" s="4" t="inlineStr">
        <is>
          <t>work_intro</t>
        </is>
      </c>
      <c r="B53" s="10">
        <f>IF($B$16=1,$B$11&amp;", ","")&amp;$B$15&amp;IF(OR($B$37="",$B$54&lt;&gt;""),"",IF(LEFT($B$37,1)=",",""," ")&amp;$B$37)</f>
        <v/>
      </c>
    </row>
    <row r="54">
      <c r="A54" s="4" t="inlineStr">
        <is>
          <t>support</t>
        </is>
      </c>
      <c r="B54" s="10">
        <f>IF(OR($B$22="",$B$57),"",", released in support of "&amp;$B$22)</f>
        <v/>
      </c>
    </row>
    <row r="55">
      <c r="A55" s="4" t="inlineStr">
        <is>
          <t>beneficiary_tagged</t>
        </is>
      </c>
      <c r="B55" s="10">
        <f>IF($B$22="","",$B$22&amp;IF($B$23="",""," (@"&amp;$B$23&amp;")"))</f>
        <v/>
      </c>
    </row>
    <row r="56" ht="80" customHeight="1">
      <c r="A56" s="4" t="inlineStr">
        <is>
          <t>bio_tagged</t>
        </is>
      </c>
      <c r="B56" s="10">
        <f>IF($B$6="",$B$35,SUBSTITUTE($B$35,$B$4,$B$45,1))</f>
        <v/>
      </c>
    </row>
    <row r="57">
      <c r="A57" s="4" t="inlineStr">
        <is>
          <t>hook_names_beneficiary</t>
        </is>
      </c>
      <c r="B57" s="10">
        <f>IF($B$22="",FALSE,ISNUMBER(SEARCH($B$22,$B$36)))</f>
        <v/>
      </c>
    </row>
    <row r="58">
      <c r="A58" s="4" t="inlineStr">
        <is>
          <t>features</t>
        </is>
      </c>
      <c r="B58" s="10">
        <f>$B$28&amp;IF($B$29="","",". "&amp;$B$29)&amp;IF($B$30="","",". "&amp;$B$30)&amp;IF($B$31="","",". "&amp;$B$31)&amp;IF($B$32="","",". "&amp;$B$32)&amp;"."</f>
        <v/>
      </c>
    </row>
    <row r="59" ht="60" customHeight="1">
      <c r="A59" s="4" t="inlineStr">
        <is>
          <t>features_list</t>
        </is>
      </c>
      <c r="B59" s="10">
        <f>"· "&amp;$B$28&amp;IF($B$29="","",CHAR(10)&amp;"· "&amp;$B$29)&amp;IF($B$30="","",CHAR(10)&amp;"· "&amp;$B$30)&amp;IF($B$31="","",CHAR(10)&amp;"· "&amp;$B$31)&amp;IF($B$32="","",CHAR(10)&amp;"· "&amp;$B$32)</f>
        <v/>
      </c>
    </row>
    <row r="60" ht="70" customHeight="1">
      <c r="A60" s="4" t="inlineStr">
        <is>
          <t>features_list_support</t>
        </is>
      </c>
      <c r="B60" s="10">
        <f>$B$59&amp;IF(OR($B$22="",$B$57),"",CHAR(10)&amp;"· Released in support of "&amp;$B$22)</f>
        <v/>
      </c>
    </row>
    <row r="61">
      <c r="A61" s="4" t="inlineStr">
        <is>
          <t>making_ours</t>
        </is>
      </c>
      <c r="B61" s="10">
        <f>SUBSTITUTE($B$38,"printmakers at Make-Ready","our printmakers at Make-Ready")</f>
        <v/>
      </c>
    </row>
    <row r="62">
      <c r="A62" s="4" t="inlineStr">
        <is>
          <t>making_ours_tagged</t>
        </is>
      </c>
      <c r="B62" s="10">
        <f>SUBSTITUTE($B$38,"printmakers at Make-Ready","our printmakers at Make-Ready (@make__ready)")</f>
        <v/>
      </c>
    </row>
    <row r="63">
      <c r="A63" s="4" t="inlineStr">
        <is>
          <t>launch_date</t>
        </is>
      </c>
      <c r="B63" s="10">
        <f>TEXT($B$20,"d mmmm")</f>
        <v/>
      </c>
    </row>
    <row r="64">
      <c r="A64" s="4" t="inlineStr">
        <is>
          <t>launch_time</t>
        </is>
      </c>
      <c r="B64" s="10">
        <f>TEXT($B$20,"hh:mm")&amp;" UK time"</f>
        <v/>
      </c>
    </row>
    <row r="65">
      <c r="A65" s="4" t="inlineStr">
        <is>
          <t>launch_weekday</t>
        </is>
      </c>
      <c r="B65" s="10">
        <f>TEXT($B$20,"dddd")</f>
        <v/>
      </c>
    </row>
    <row r="66">
      <c r="A66" s="4" t="inlineStr">
        <is>
          <t>launch_date_dd</t>
        </is>
      </c>
      <c r="B66" s="10">
        <f>TEXT($B$20,"dd mmmm")</f>
        <v/>
      </c>
    </row>
    <row r="67">
      <c r="A67" s="4" t="inlineStr">
        <is>
          <t>close_date</t>
        </is>
      </c>
      <c r="B67" s="10">
        <f>TEXT($B$21,"d mmmm")</f>
        <v/>
      </c>
    </row>
    <row r="68">
      <c r="A68" s="4" t="inlineStr">
        <is>
          <t>close_time</t>
        </is>
      </c>
      <c r="B68" s="10">
        <f>TEXT($B$21,"hh:mm")&amp;" UK time"</f>
        <v/>
      </c>
    </row>
    <row r="69">
      <c r="A69" s="4" t="inlineStr">
        <is>
          <t>close_weekday</t>
        </is>
      </c>
      <c r="B69" s="10">
        <f>TEXT($B$21,"dddd")</f>
        <v/>
      </c>
    </row>
    <row r="70">
      <c r="A70" s="4" t="inlineStr">
        <is>
          <t>close_date_dd</t>
        </is>
      </c>
      <c r="B70" s="10">
        <f>TEXT($B$21,"dd mmmm")</f>
        <v/>
      </c>
    </row>
    <row r="71">
      <c r="A71" s="4" t="inlineStr">
        <is>
          <t>collect_phrase</t>
        </is>
      </c>
      <c r="B71" s="10">
        <f>SUBSTITUTE($B$15," new "," ",1)</f>
        <v/>
      </c>
    </row>
    <row r="72">
      <c r="A72" s="4" t="inlineStr">
        <is>
          <t>edition_phrase_cap</t>
        </is>
      </c>
      <c r="B72" s="10">
        <f>UPPER(LEFT($B$15,1))&amp;MID($B$15,2,999)</f>
        <v/>
      </c>
    </row>
    <row r="73">
      <c r="A73" s="4" t="inlineStr">
        <is>
          <t>window_cap</t>
        </is>
      </c>
      <c r="B73" s="10">
        <f>UPPER(LEFT($B$19,1))&amp;MID($B$19,2,999)</f>
        <v/>
      </c>
    </row>
    <row r="74">
      <c r="A74" s="4" t="inlineStr">
        <is>
          <t>card</t>
        </is>
      </c>
      <c r="B74" s="10">
        <f>$B$11&amp;IF($B$39="","",CHAR(10)&amp;$B$39)&amp;IF($B$12="","",CHAR(10)&amp;CHAR(10)&amp;"Card: "&amp;$B$12&amp;IF($B$40="","",CHAR(10)&amp;$B$40))&amp;IF($B$13="","",CHAR(10)&amp;CHAR(10)&amp;"Card: "&amp;$B$13&amp;IF($B$41="","",CHAR(10)&amp;$B$41))</f>
        <v/>
      </c>
    </row>
    <row r="75">
      <c r="A75" s="4" t="inlineStr">
        <is>
          <t>quote_line</t>
        </is>
      </c>
      <c r="B75" s="10">
        <f>IF($B$42="","","“"&amp;$B$42&amp;"” – "&amp;$B$4)</f>
        <v/>
      </c>
    </row>
    <row r="76">
      <c r="A76" s="4" t="inlineStr">
        <is>
          <t>each_artwork</t>
        </is>
      </c>
      <c r="B76" s="10">
        <f>IF($B$16&gt;1," for each artwork","")</f>
        <v/>
      </c>
    </row>
    <row r="77">
      <c r="A77" s="4" t="inlineStr">
        <is>
          <t>work_word</t>
        </is>
      </c>
      <c r="B77" s="10">
        <f>IF($B$16&gt;1,"works","work")</f>
        <v/>
      </c>
    </row>
    <row r="78">
      <c r="A78" s="4" t="inlineStr">
        <is>
          <t>add_what</t>
        </is>
      </c>
      <c r="B78"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SUBSTITUTE(B15,"{features}",Inputs!$B$58)</f>
        <v/>
      </c>
    </row>
    <row r="16" ht="16" customHeight="1">
      <c r="A16" s="4" t="inlineStr">
        <is>
          <t>post · beneficiary line</t>
        </is>
      </c>
      <c r="B16" s="8" t="inlineStr">
        <is>
          <t>Released in support of {beneficiary_tagged}.</t>
        </is>
      </c>
      <c r="C16" s="10">
        <f>SUBSTITUTE(B16,"{beneficiary_tagged}",Inputs!$B$55)</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SUBSTITUTE(SUBSTITUTE(SUBSTITUTE(B17,"{window}",Inputs!$B$19),"{launch_date}",Inputs!$B$63),"{launch_time}",Inputs!$B$64)</f>
        <v/>
      </c>
    </row>
    <row r="18" ht="32" customHeight="1">
      <c r="A18" s="4" t="inlineStr">
        <is>
          <t>post · action before launch, draw</t>
        </is>
      </c>
      <c r="B18" s="8" t="inlineStr">
        <is>
          <t>Enter the draw via our link in bio. Closes {close_date} at {close_time}.</t>
        </is>
      </c>
      <c r="C18" s="10">
        <f>SUBSTITUTE(SUBSTITUTE(B18,"{close_date}",Inputs!$B$67),"{close_time}",Inputs!$B$68)</f>
        <v/>
      </c>
    </row>
    <row r="19" ht="16" customHeight="1">
      <c r="A19" s="4" t="inlineStr">
        <is>
          <t>post · action while open, timed</t>
        </is>
      </c>
      <c r="B19" s="8" t="inlineStr">
        <is>
          <t>Link in bio to buy {a_unit}. Closes {close_date} at {close_time}.</t>
        </is>
      </c>
      <c r="C19" s="10">
        <f>SUBSTITUTE(SUBSTITUTE(SUBSTITUTE(B19,"{a_unit}",Inputs!$B$48),"{close_date}",Inputs!$B$67),"{close_time}",Inputs!$B$68)</f>
        <v/>
      </c>
    </row>
    <row r="20" ht="32" customHeight="1">
      <c r="A20" s="4" t="inlineStr">
        <is>
          <t>post · action while open, draw</t>
        </is>
      </c>
      <c r="B20" s="8" t="inlineStr">
        <is>
          <t>Enter the draw via our link in bio. Closes {close_date} at {close_time}.</t>
        </is>
      </c>
      <c r="C20" s="10">
        <f>SUBSTITUTE(SUBSTITUTE(B20,"{close_date}",Inputs!$B$67),"{close_time}",Inputs!$B$68)</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SUBSTITUTE(SUBSTITUTE(SUBSTITUTE(SUBSTITUTE(B27,"{link}",Inputs!$B$8),"{window}",Inputs!$B$19),"{launch_date}",Inputs!$B$63),"{launch_time}",Inputs!$B$64)</f>
        <v/>
      </c>
    </row>
    <row r="28" ht="16" customHeight="1">
      <c r="A28" s="4" t="inlineStr">
        <is>
          <t>tweet · action, draw</t>
        </is>
      </c>
      <c r="B28" s="8" t="inlineStr">
        <is>
          <t>Closes {close_date} at {close_time}. Enter the draw: {link}</t>
        </is>
      </c>
      <c r="C28" s="10">
        <f>SUBSTITUTE(SUBSTITUTE(SUBSTITUTE(B28,"{link}",Inputs!$B$8),"{close_date}",Inputs!$B$67),"{close_time}",Inputs!$B$68)</f>
        <v/>
      </c>
    </row>
    <row r="29" ht="16" customHeight="1">
      <c r="A29" s="4" t="inlineStr">
        <is>
          <t>tweet · action while open, timed</t>
        </is>
      </c>
      <c r="B29" s="8" t="inlineStr">
        <is>
          <t>Closes {close_date} at {close_time}. Buy {a_unit}: {link}</t>
        </is>
      </c>
      <c r="C29" s="10">
        <f>SUBSTITUTE(SUBSTITUTE(SUBSTITUTE(SUBSTITUTE(B29,"{link}",Inputs!$B$8),"{a_unit}",Inputs!$B$48),"{close_date}",Inputs!$B$67),"{close_time}",Inputs!$B$68)</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SUBSTITUTE(SUBSTITUTE(B33,"{close_date}",Inputs!$B$67),"{close_time}",Inputs!$B$68)</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SUBSTITUTE(SUBSTITUTE(B35,"{artist}",Inputs!$B$4),"{a_unit}",Inputs!$B$48)</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SUBSTITUTE(SUBSTITUTE(B39,"{artist}",Inputs!$B$4),"{edition_phrase_cap}",Inputs!$B$72)</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SUBSTITUTE(SUBSTITUTE(SUBSTITUTE(SUBSTITUTE(B40,"{collab_with}",Inputs!$B$5),"{work_intro}",Inputs!$B$53),"{support}",Inputs!$B$54),"{ordinal}",Inputs!$B$10)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SUBSTITUTE(SUBSTITUTE(SUBSTITUTE(SUBSTITUTE(B41,"{window}",Inputs!$B$19),"{launch_time}",Inputs!$B$64),"{launch_weekday}",Inputs!$B$65),"{launch_date_dd}",Inputs!$B$66)</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SUBSTITUTE(SUBSTITUTE(SUBSTITUTE(SUBSTITUTE(B49,"{collab_with}",Inputs!$B$5),"{ordinal}",Inputs!$B$10),"{window}",Inputs!$B$19),"{launch_time}",Inputs!$B$64)</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SUBSTITUTE(SUBSTITUTE(SUBSTITUTE(SUBSTITUTE(B53,"{collab_with}",Inputs!$B$5),"{work_intro}",Inputs!$B$53),"{support}",Inputs!$B$54),"{ordinal}",Inputs!$B$10)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SUBSTITUTE(B54,"{launch_date}",Inputs!$B$63)</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SUBSTITUTE(SUBSTITUTE(SUBSTITUTE(SUBSTITUTE(B56,"{collab_with}",Inputs!$B$5),"{work_intro}",Inputs!$B$53),"{support}",Inputs!$B$54),"{ordinal}",Inputs!$B$10)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SUBSTITUTE(B57,"{launch_date}",Inputs!$B$63)</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SUBSTITUTE(SUBSTITUTE(B58,"{window}",Inputs!$B$19),"{launch_time}",Inputs!$B$64)</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SUBSTITUTE(SUBSTITUTE(SUBSTITUTE(SUBSTITUTE(SUBSTITUTE(B63,"{collab_with}",Inputs!$B$5),"{work_intro}",Inputs!$B$53),"{support}",Inputs!$B$54),"{ordinal}",Inputs!$B$10),"{window}",Inputs!$B$19)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SUBSTITUTE(SUBSTITUTE(SUBSTITUTE(SUBSTITUTE(B64,"{close_time}",Inputs!$B$68),"{close_weekday}",Inputs!$B$69),"{close_date_dd}",Inputs!$B$70),"{add_what}",Inputs!$B$78)</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SUBSTITUTE(B66,"{a_unit}",Inputs!$B$48)</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SUBSTITUTE(SUBSTITUTE(B69,"{artist}",Inputs!$B$4),"{collect_phrase}",Inputs!$B$71)</f>
        <v/>
      </c>
    </row>
    <row r="70" ht="32" customHeight="1">
      <c r="A70" s="4" t="inlineStr">
        <is>
          <t>email · 3 days · 2</t>
        </is>
      </c>
      <c r="B70" s="8" t="inlineStr">
        <is>
          <t>Click the link to collect before {close_time} on {close_weekday}, {close_date_dd}.</t>
        </is>
      </c>
      <c r="C70" s="10">
        <f>SUBSTITUTE(SUBSTITUTE(SUBSTITUTE(B70,"{close_time}",Inputs!$B$68),"{close_weekday}",Inputs!$B$69),"{close_date_dd}",Inputs!$B$70)</f>
        <v/>
      </c>
    </row>
    <row r="71" ht="16" customHeight="1">
      <c r="A71" s="4" t="inlineStr">
        <is>
          <t>email · days to go · footer</t>
        </is>
      </c>
      <c r="B71" s="8" t="inlineStr">
        <is>
          <t>Add {a_unit} to your collection</t>
        </is>
      </c>
      <c r="C71" s="10">
        <f>SUBSTITUTE(B71,"{a_unit}",Inputs!$B$48)</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SUBSTITUTE(SUBSTITUTE(SUBSTITUTE(SUBSTITUTE(SUBSTITUTE(SUBSTITUTE(B73,"{collab_with}",Inputs!$B$5),"{collect_phrase}",Inputs!$B$71),"{ordinal}",Inputs!$B$10),"{close_time}",Inputs!$B$68),"{close_weekday}",Inputs!$B$69),"{close_date_dd}",Inputs!$B$70)</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SUBSTITUTE(SUBSTITUTE(B74,"{each_artwork}",Inputs!$B$76),"{work_word}",Inputs!$B$77)</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SUBSTITUTE(SUBSTITUTE(SUBSTITUTE(B75,"{artist}",Inputs!$B$4),"{work_email}",Inputs!$B$51),"{collect_phrase}",Inputs!$B$71)</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SUBSTITUTE(SUBSTITUTE(SUBSTITUTE(B76,"{close_time}",Inputs!$B$68),"{close_weekday}",Inputs!$B$69),"{close_date_dd}",Inputs!$B$70)</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SUBSTITUTE(SUBSTITUTE(SUBSTITUTE(B89,"{collab_with}",Inputs!$B$5),"{work_intro}",Inputs!$B$53),"{support}",Inputs!$B$54)</f>
        <v/>
      </c>
    </row>
    <row r="90" ht="32" customHeight="1">
      <c r="A90" s="4" t="inlineStr">
        <is>
          <t>email · monthly preview · when, draw</t>
        </is>
      </c>
      <c r="B90" s="8" t="inlineStr">
        <is>
          <t>The edition will be allocated by a randomised draw, which closes at {close_time} on {close_date}.</t>
        </is>
      </c>
      <c r="C90" s="10">
        <f>SUBSTITUTE(SUBSTITUTE(B90,"{close_date}",Inputs!$B$67),"{close_time}",Inputs!$B$68)</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SUBSTITUTE(SUBSTITUTE(SUBSTITUTE(SUBSTITUTE(B91,"{window}",Inputs!$B$19),"{launch_time}",Inputs!$B$64),"{launch_weekday}",Inputs!$B$65),"{launch_date_dd}",Inputs!$B$66)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Inputs!$B$56</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Lines!$C$15&amp;IF(Inputs!$B$57,"",IF(Inputs!$B$55="","","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Inputs!$B$62</f>
        <v/>
      </c>
      <c r="G6" s="11">
        <f>Lines!$C$15&amp;IF(Inputs!$B$55="","","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IF(Inputs!$B$42="","",Lines!$C$15&amp;IF(Inputs!$B$55="","","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IF(Inputs!$B$18="draw","",Lines!$C$15&amp;IF(Inputs!$B$55="","","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IF(Inputs!$B$18="draw","",Lines!$C$15&amp;IF(Inputs!$B$55="","","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Lines!$C$15&amp;IF(Inputs!$B$55="","","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SUBSTITUTE(IF(Inputs!$B$14&lt;&gt;"",Lines!$C$7,Lines!$C$6),Inputs!$B$45,Inputs!$B$46)</f>
        <v/>
      </c>
      <c r="E5" s="11">
        <f>Inputs!$B$36</f>
        <v/>
      </c>
      <c r="F5" s="11">
        <f>IF(OR(Inputs!$B$22="",Inputs!$B$57),"",Lines!$C$26)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"&amp;Inputs!$B$67&amp;".","Launching "&amp;Inputs!$B$63&amp;". Register for updates."))</f>
        <v/>
      </c>
      <c r="G4" s="11">
        <f>IF($D4&lt;&gt;"yes","",IF(Inputs!$B$18="draw","Enter the draw","Launching "&amp;Inputs!$B$63))</f>
        <v/>
      </c>
      <c r="H4" s="11">
        <f>IF($D4&lt;&gt;"yes","",IF(Inputs!$B$18="draw",Inputs!$B$52,Inputs!$B$52&amp;" by "&amp;Inputs!$B$4))</f>
        <v/>
      </c>
      <c r="I4" s="11">
        <f>IF($D4&lt;&gt;"yes","",(Lines!$C$40&amp;IF(Inputs!$B$36="","",CHAR(10)&amp;CHAR(10)&amp;Inputs!$B$36)&amp;IF(Inputs!$B$61="","",CHAR(10)&amp;CHAR(10)&amp;Inputs!$B$61)&amp;IF(Inputs!$B$59="","",CHAR(10)&amp;CHAR(10)&amp;Inputs!$B$59)&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IF($D4&lt;&gt;"yes","",Inputs!$B$74)</f>
        <v/>
      </c>
      <c r="L4" s="11">
        <f>IF($D4&lt;&gt;"yes","",Inputs!$B$75)</f>
        <v/>
      </c>
      <c r="M4" s="11">
        <f>IF($D4&lt;&gt;"yes","",IF(Inputs!$B$18="draw","Collect "&amp;Inputs!$B$71,"Launching "&amp;Inputs!$B$63))</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$60="","",CHAR(10)&amp;CHAR(10)&amp;Inputs!$B$60)&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$60="","",CHAR(10)&amp;CHAR(10)&amp;Inputs!$B$60)&amp;IF(Lines!$C$51="","",CHAR(10)&amp;CHAR(10)&amp;Lines!$C$51)&amp;IF(Lines!$C$52="","",CHAR(10)&amp;CHAR(10)&amp;Lines!$C$52)&amp;IF(Lines!$C$34="","",CHAR(10)&amp;CHAR(10)&amp;Lines!$C$34)&amp;IF(Lines!$C$32="","",CHAR(10)&amp;CHAR(10)&amp;Lines!$C$32)))</f>
        <v/>
      </c>
      <c r="J7" s="11">
        <f>IF($D7&lt;&gt;"yes","","Unlock early access")</f>
        <v/>
      </c>
      <c r="K7" s="11">
        <f>IF($D7&lt;&gt;"yes","",Inputs!$B$74)</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IF($D8&lt;&gt;"yes","",Inputs!$B$74)</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IF($D9&lt;&gt;"yes","",Inputs!$B$74)</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IF($D10&lt;&gt;"yes","",Inputs!$B$73&amp;", starting now.")</f>
        <v/>
      </c>
      <c r="G10" s="11">
        <f>IF($D10&lt;&gt;"yes","",Lines!$C$35)</f>
        <v/>
      </c>
      <c r="H10" s="11">
        <f>IF($D10&lt;&gt;"yes","",Inputs!$B$73&amp;", starting now")</f>
        <v/>
      </c>
      <c r="I10" s="11">
        <f>IF($D10&lt;&gt;"yes","",(Lines!$C$63&amp;IF(Inputs!$B$36="","",CHAR(10)&amp;CHAR(10)&amp;Inputs!$B$36)&amp;IF(Inputs!$B$61="","",CHAR(10)&amp;CHAR(10)&amp;Inputs!$B$61)&amp;IF(Inputs!$B$60="","",CHAR(10)&amp;CHAR(10)&amp;Inputs!$B$60)&amp;IF(Lines!$C$64="","",CHAR(10)&amp;CHAR(10)&amp;Lines!$C$64)&amp;IF(IF(Inputs!$B$26="","",Lines!$C$36)="","",CHAR(10)&amp;CHAR(10)&amp;IF(Inputs!$B$26="","",Lines!$C$36))))</f>
        <v/>
      </c>
      <c r="J10" s="11">
        <f>IF($D10&lt;&gt;"yes","","Buy now")</f>
        <v/>
      </c>
      <c r="K10" s="11">
        <f>IF($D10&lt;&gt;"yes","",Inputs!$B$74)</f>
        <v/>
      </c>
      <c r="L10" s="11">
        <f>IF($D10&lt;&gt;"yes","",Inputs!$B$75)</f>
        <v/>
      </c>
      <c r="M10" s="11">
        <f>IF($D10&lt;&gt;"yes","","Collect "&amp;Inputs!$B$71)</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"&amp;Inputs!$B$48)</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"&amp;Inputs!$B$48)</f>
        <v/>
      </c>
      <c r="K13" s="11">
        <f>IF($D13&lt;&gt;"yes","",Inputs!$B$74)</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"&amp;Inputs!$B$68&amp;" on "&amp;Inputs!$B$67&amp;".","Time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IF($D14&lt;&gt;"yes","",Inputs!$B$74)</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$61="","",CHAR(10)&amp;CHAR(10)&amp;Inputs!$B$61)&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2026-09-14T21:37:31Z</dcterms:created>
  <dcterms:modified xsi:type="dcterms:W3CDTF">2026-09-14T21:37:31Z</dcterms:modified>
</cp:coreProperties>
</file>