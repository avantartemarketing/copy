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Joel Mesler</t>
        </is>
      </c>
      <c r="C4" s="2" t="inlineStr">
        <is>
          <t>full name: the works are 'by' this name</t>
        </is>
      </c>
    </row>
    <row r="5">
      <c r="A5" s="4" t="inlineStr">
        <is>
          <t>collab_with</t>
        </is>
      </c>
      <c r="B5" s="5" t="inlineStr">
        <is>
          <t>Joel Mesler</t>
        </is>
      </c>
      <c r="C5" s="2" t="inlineStr">
        <is>
          <t>the words after 'collaboration with': usually the name, or the estate</t>
        </is>
      </c>
    </row>
    <row r="6">
      <c r="A6" s="4" t="inlineStr">
        <is>
          <t>handle</t>
        </is>
      </c>
      <c r="B6" s="5" t="inlineStr">
        <is>
          <t>joelmesler</t>
        </is>
      </c>
      <c r="C6" s="2" t="inlineStr">
        <is>
          <t>Instagram handle, blank if none</t>
        </is>
      </c>
    </row>
    <row r="7">
      <c r="A7" s="4" t="inlineStr">
        <is>
          <t>x_handle</t>
        </is>
      </c>
      <c r="B7" s="5" t="inlineStr"/>
      <c r="C7" s="2" t="inlineStr">
        <is>
          <t>X (Twitter) handle, blank if none</t>
        </is>
      </c>
    </row>
    <row r="8">
      <c r="A8" s="4" t="inlineStr">
        <is>
          <t>link</t>
        </is>
      </c>
      <c r="B8" s="5" t="inlineStr">
        <is>
          <t>https://avantarte.co/joel-mesler-x</t>
        </is>
      </c>
      <c r="C8" s="2" t="inlineStr">
        <is>
          <t>the release's short link, for tweets</t>
        </is>
      </c>
    </row>
    <row r="9">
      <c r="A9" s="4" t="inlineStr">
        <is>
          <t>hashtag</t>
        </is>
      </c>
      <c r="B9" s="5" t="inlineStr"/>
      <c r="C9" s="2" t="inlineStr">
        <is>
          <t>announcement post only; blank for none</t>
        </is>
      </c>
    </row>
    <row r="10">
      <c r="A10" s="4" t="inlineStr">
        <is>
          <t>ordinal</t>
        </is>
      </c>
      <c r="B10" s="5" t="inlineStr">
        <is>
          <t>debut</t>
        </is>
      </c>
      <c r="C10" s="2" t="inlineStr">
        <is>
          <t>debut, latest or second</t>
        </is>
      </c>
    </row>
    <row r="11">
      <c r="A11" s="4" t="inlineStr">
        <is>
          <t>title_1</t>
        </is>
      </c>
      <c r="B11" s="5" t="inlineStr">
        <is>
          <t>I Love You</t>
        </is>
      </c>
      <c r="C11" s="2" t="inlineStr">
        <is>
          <t>exactly as it appears, and what the card is headed with. Untitled works from a series still keep their own titles here</t>
        </is>
      </c>
    </row>
    <row r="12">
      <c r="A12" s="4" t="inlineStr">
        <is>
          <t>title_2</t>
        </is>
      </c>
      <c r="B12" s="5" t="inlineStr"/>
      <c r="C12" s="2" t="inlineStr">
        <is>
          <t>for a pair or a trio with their own titles; blank otherwise</t>
        </is>
      </c>
    </row>
    <row r="13">
      <c r="A13" s="4" t="inlineStr">
        <is>
          <t>title_3</t>
        </is>
      </c>
      <c r="B13" s="5" t="inlineStr"/>
      <c r="C13" s="2" t="inlineStr">
        <is>
          <t>blank otherwise. More than three titled works: give the set a collective title, or use the templates</t>
        </is>
      </c>
    </row>
    <row r="14">
      <c r="A14" s="4" t="inlineStr">
        <is>
          <t>series_name</t>
        </is>
      </c>
      <c r="B14" s="5" t="inlineStr"/>
      <c r="C14" s="2" t="inlineStr">
        <is>
          <t>set it to name the works by their series in the prose, for untitled works; the cards keep their own titles. Blank otherwise</t>
        </is>
      </c>
    </row>
    <row r="15">
      <c r="A15" s="4" t="inlineStr">
        <is>
          <t>edition_phrase</t>
        </is>
      </c>
      <c r="B15" s="5" t="inlineStr">
        <is>
          <t>a new limited edition print in four colourways</t>
        </is>
      </c>
      <c r="C15" s="2" t="inlineStr">
        <is>
          <t>e.g. a new limited edition print; a quartet of new limited edition embroideries; a new limited edition print in four colourways</t>
        </is>
      </c>
    </row>
    <row r="16">
      <c r="A16" s="4" t="inlineStr">
        <is>
          <t>works</t>
        </is>
      </c>
      <c r="B16" s="5" t="n">
        <v>1</v>
      </c>
      <c r="C16" s="2" t="inlineStr">
        <is>
          <t>number of artworks: sets the plural wording</t>
        </is>
      </c>
    </row>
    <row r="17">
      <c r="A17" s="4" t="inlineStr">
        <is>
          <t>unit</t>
        </is>
      </c>
      <c r="B17" s="5" t="inlineStr">
        <is>
          <t>print</t>
        </is>
      </c>
      <c r="C17" s="2" t="inlineStr">
        <is>
          <t>what one is called: print, embroidery, sculpture, edition</t>
        </is>
      </c>
    </row>
    <row r="18">
      <c r="A18" s="4" t="inlineStr">
        <is>
          <t>mechanic</t>
        </is>
      </c>
      <c r="B18" s="5" t="inlineStr">
        <is>
          <t>timed</t>
        </is>
      </c>
      <c r="C18" s="2" t="inlineStr">
        <is>
          <t>timed (TL) or draw (LE)</t>
        </is>
      </c>
    </row>
    <row r="19">
      <c r="A19" s="4" t="inlineStr">
        <is>
          <t>window</t>
        </is>
      </c>
      <c r="B19" s="5" t="inlineStr">
        <is>
          <t>48 hours</t>
        </is>
      </c>
      <c r="C19" s="2" t="inlineStr">
        <is>
          <t>48 hours or one week; timed only</t>
        </is>
      </c>
    </row>
    <row r="20">
      <c r="A20" s="4" t="inlineStr">
        <is>
          <t>launch_at</t>
        </is>
      </c>
      <c r="B20" s="6" t="n">
        <v>46162.70833333334</v>
      </c>
      <c r="C20" s="2" t="inlineStr">
        <is>
          <t>date and time the window opens, or the draw opens (UK)</t>
        </is>
      </c>
    </row>
    <row r="21">
      <c r="A21" s="4" t="inlineStr">
        <is>
          <t>closes_at</t>
        </is>
      </c>
      <c r="B21" s="6" t="n">
        <v>46164.70833333334</v>
      </c>
      <c r="C21" s="2" t="inlineStr">
        <is>
          <t>date and time the window or draw closes (UK)</t>
        </is>
      </c>
    </row>
    <row r="22">
      <c r="A22" s="4" t="inlineStr">
        <is>
          <t>beneficiary</t>
        </is>
      </c>
      <c r="B22" s="5" t="inlineStr"/>
      <c r="C22" s="2" t="inlineStr">
        <is>
          <t>as it reads mid-sentence; blank if none</t>
        </is>
      </c>
    </row>
    <row r="23">
      <c r="A23" s="4" t="inlineStr">
        <is>
          <t>beneficiary_handle</t>
        </is>
      </c>
      <c r="B23" s="5" t="inlineStr"/>
      <c r="C23" s="2" t="inlineStr">
        <is>
          <t>blank if none</t>
        </is>
      </c>
    </row>
    <row r="24">
      <c r="A24" s="4" t="inlineStr">
        <is>
          <t>advisor</t>
        </is>
      </c>
      <c r="B24" s="5" t="inlineStr">
        <is>
          <t>Sam</t>
        </is>
      </c>
      <c r="C24" s="2" t="inlineStr">
        <is>
          <t>signs the Insiders email and the first-time collector survey: Sofiya, Curtis or Sam</t>
        </is>
      </c>
    </row>
    <row r="25">
      <c r="A25" s="4" t="inlineStr">
        <is>
          <t>early_access_code</t>
        </is>
      </c>
      <c r="B25" s="5" t="inlineStr">
        <is>
          <t>000-000</t>
        </is>
      </c>
      <c r="C25" s="2" t="inlineStr">
        <is>
          <t>draw releases</t>
        </is>
      </c>
    </row>
    <row r="26">
      <c r="A26" s="4" t="inlineStr">
        <is>
          <t>framing_code</t>
        </is>
      </c>
      <c r="B26" s="5" t="inlineStr">
        <is>
          <t>Joel-0526-10</t>
        </is>
      </c>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Signed by the artist</t>
        </is>
      </c>
      <c r="C28" s="2" t="inlineStr">
        <is>
          <t>the standard three; clear a cell to drop it</t>
        </is>
      </c>
    </row>
    <row r="29">
      <c r="A29" s="4" t="inlineStr">
        <is>
          <t>feature_2</t>
        </is>
      </c>
      <c r="B29" s="5" t="inlineStr">
        <is>
          <t>Individually numbered</t>
        </is>
      </c>
      <c r="C29" s="2" t="inlineStr"/>
    </row>
    <row r="30">
      <c r="A30" s="4" t="inlineStr">
        <is>
          <t>feature_3</t>
        </is>
      </c>
      <c r="B30" s="5" t="inlineStr">
        <is>
          <t>Free worldwide shipping</t>
        </is>
      </c>
      <c r="C30" s="2" t="inlineStr"/>
    </row>
    <row r="31">
      <c r="A31" s="4" t="inlineStr">
        <is>
          <t>feature_4</t>
        </is>
      </c>
      <c r="B31" s="5" t="inlineStr">
        <is>
          <t>Available in four colourways</t>
        </is>
      </c>
      <c r="C31" s="2" t="inlineStr">
        <is>
          <t>bespoke, e.g. Hand-finished by the artist. Never 'our'.</t>
        </is>
      </c>
    </row>
    <row r="32">
      <c r="A32" s="4" t="inlineStr">
        <is>
          <t>feature_5</t>
        </is>
      </c>
      <c r="B32" s="5" t="inlineStr"/>
      <c r="C32" s="2" t="inlineStr">
        <is>
          <t>bespoke, e.g. Available individually or as a set</t>
        </is>
      </c>
    </row>
    <row r="34">
      <c r="A34" s="7" t="inlineStr">
        <is>
          <t>Fragments, written once per release. No we or our: the sheet adds our where a line needs it.</t>
        </is>
      </c>
    </row>
    <row r="35" ht="64" customHeight="1">
      <c r="A35" s="4" t="inlineStr">
        <is>
          <t>bio</t>
        </is>
      </c>
      <c r="B35" s="8" t="inlineStr">
        <is>
          <t>Joel Mesler is a Los Angeles-born, New York-based painter known for vivid colours and candid text-based works that merge personal memory with pop culture. His practice is built on radical directness, drawing statements and imagery straight from his own memory and emotion.</t>
        </is>
      </c>
      <c r="C35" s="9" t="inlineStr">
        <is>
          <t>2 to 3 sentences on the artist, third person, no handle. Coming Soon post only.</t>
        </is>
      </c>
    </row>
    <row r="36" ht="48" customHeight="1">
      <c r="A36" s="4" t="inlineStr">
        <is>
          <t>hook</t>
        </is>
      </c>
      <c r="B36" s="8" t="inlineStr">
        <is>
          <t>I Love You is a declaration of love in four colourways, the colour of the text changing across the quartet. Drawing on personal memory and popular culture in equal measure, the work is disarmingly direct, and the title leaves no doubt.</t>
        </is>
      </c>
      <c r="C36" s="9" t="inlineStr">
        <is>
          <t>2 to 3 sentences about the work. Write it as editorially as you like; the one test is that it must read as well in the middle of an email as at the top of a post. Self-contained, no rhetorical question, the artist by surname only (the frame has used the full name), one dash at most and never a pair. It reaches 16 slots, so it is the one fragment that must stand alone.</t>
        </is>
      </c>
    </row>
    <row r="37" ht="32" customHeight="1">
      <c r="A37" s="4" t="inlineStr">
        <is>
          <t>qualifier</t>
        </is>
      </c>
      <c r="B37" s="8" t="inlineStr"/>
      <c r="C37" s="9" t="inlineStr">
        <is>
          <t>a few words after the edition phrase in the email opener, e.g. spanning five decades of the artist's career. Ten words at most, a phrase not a sentence, no we or our, no artist name. Ignored when there is a beneficiary: 'released in support of X' fills the same opening. With several works the title drops out of this line, and that is what it is for.</t>
        </is>
      </c>
    </row>
    <row r="38" ht="32" customHeight="1">
      <c r="A38" s="4" t="inlineStr">
        <is>
          <t>opener</t>
        </is>
      </c>
      <c r="B38" s="8" t="inlineStr"/>
      <c r="C38" s="9" t="inlineStr">
        <is>
          <t>or the announcement's first sentence written whole, e.g. Surveillance and defiance bubble to the surface in a new limited edition silkscreen print by Ai Weiwei. Blank keeps the framed line. One sentence, the artist in full, the words limited edition. The four other emails keep the framed line either way; if this leaves out the beneficiary, the features list names it.</t>
        </is>
      </c>
    </row>
    <row r="39" ht="48" customHeight="1">
      <c r="A39" s="4" t="inlineStr">
        <is>
          <t>making</t>
        </is>
      </c>
      <c r="B39" s="8" t="inlineStr">
        <is>
          <t>Created in close collaboration with the artist by printmakers at Make-Ready, the edition unites a 9-colour split fountain silkscreen with an archival pigment overlay, metallic shimmer and high-gloss varnish.</t>
        </is>
      </c>
      <c r="C39" s="9" t="inlineStr">
        <is>
          <t>one sentence on how the edition was made; write 'printmakers at Make-Ready' and the sheet adds 'our'.</t>
        </is>
      </c>
    </row>
    <row r="40" ht="48" customHeight="1">
      <c r="A40" s="4" t="inlineStr">
        <is>
          <t>card_line_1</t>
        </is>
      </c>
      <c r="B40" s="8" t="inlineStr">
        <is>
          <t>Three words, as direct as Mesler gets, in a 9-colour split fountain silkscreen finished with metallic shimmer and high-gloss varnish, in a choice of four colourways.</t>
        </is>
      </c>
      <c r="C40" s="9" t="inlineStr">
        <is>
          <t>one sentence on the first work, 15 to 30 words, under its card in six emails. With several works, say something different about each: the edition is described above the cards, so do not call each one a limited edition print.</t>
        </is>
      </c>
    </row>
    <row r="41" ht="32" customHeight="1">
      <c r="A41" s="4" t="inlineStr">
        <is>
          <t>card_line_2</t>
        </is>
      </c>
      <c r="B41" s="8" t="inlineStr"/>
      <c r="C41" s="9" t="inlineStr">
        <is>
          <t>the second titled work; blank otherwise</t>
        </is>
      </c>
    </row>
    <row r="42" ht="32" customHeight="1">
      <c r="A42" s="4" t="inlineStr">
        <is>
          <t>card_line_3</t>
        </is>
      </c>
      <c r="B42" s="8" t="inlineStr"/>
      <c r="C42" s="9" t="inlineStr">
        <is>
          <t>the third; blank otherwise</t>
        </is>
      </c>
    </row>
    <row r="43" ht="48" customHeight="1">
      <c r="A43" s="4" t="inlineStr">
        <is>
          <t>quote</t>
        </is>
      </c>
      <c r="B43" s="8" t="inlineStr">
        <is>
          <t>What I put out is an honest reflection of my thoughts and experiences. At this point in my life, I have nothing to hide – the good, the bad, and everything in between.</t>
        </is>
      </c>
      <c r="C43" s="9" t="inlineStr">
        <is>
          <t>verbatim, a complete sentence, or blank</t>
        </is>
      </c>
    </row>
    <row r="45">
      <c r="A45" s="7" t="inlineStr">
        <is>
          <t>Derived (formulas, do not edit)</t>
        </is>
      </c>
    </row>
    <row r="46">
      <c r="A46" s="4" t="inlineStr">
        <is>
          <t>named</t>
        </is>
      </c>
      <c r="B46" s="10">
        <f>$B$4&amp;IF($B$6="",""," (@"&amp;$B$6&amp;")")</f>
        <v/>
      </c>
    </row>
    <row r="47">
      <c r="A47" s="4" t="inlineStr">
        <is>
          <t>named_x</t>
        </is>
      </c>
      <c r="B47" s="10">
        <f>$B$4&amp;IF($B$7="",""," (@"&amp;$B$7&amp;")")</f>
        <v/>
      </c>
    </row>
    <row r="48">
      <c r="A48" s="4" t="inlineStr">
        <is>
          <t>collab_x</t>
        </is>
      </c>
      <c r="B48" s="10">
        <f>IF($B$5=$B$4,$B$47,$B$5)</f>
        <v/>
      </c>
    </row>
    <row r="49">
      <c r="A49" s="4" t="inlineStr">
        <is>
          <t>a_unit</t>
        </is>
      </c>
      <c r="B49" s="10">
        <f>IF(OR(LEFT($B$17,1)="a",LEFT($B$17,1)="e",LEFT($B$17,1)="i",LEFT($B$17,1)="o",LEFT($B$17,1)="u"),"an ","a ")&amp;$B$17</f>
        <v/>
      </c>
    </row>
    <row r="50">
      <c r="A50" s="4" t="inlineStr">
        <is>
          <t>work</t>
        </is>
      </c>
      <c r="B50" s="10">
        <f>IF($B$14&lt;&gt;"","the "&amp;$B$14&amp;" series",IF($B$12="","‘"&amp;$B$11&amp;"’",IF($B$13="","‘"&amp;$B$11&amp;"’ and ‘"&amp;$B$12&amp;"’","‘"&amp;$B$11&amp;"’, ‘"&amp;$B$12&amp;"’ and ‘"&amp;$B$13&amp;"’")))</f>
        <v/>
      </c>
    </row>
    <row r="51">
      <c r="A51" s="4" t="inlineStr">
        <is>
          <t>Work</t>
        </is>
      </c>
      <c r="B51" s="10">
        <f>UPPER(LEFT($B$50,1))&amp;MID($B$50,2,999)</f>
        <v/>
      </c>
    </row>
    <row r="52">
      <c r="A52" s="4" t="inlineStr">
        <is>
          <t>work_email</t>
        </is>
      </c>
      <c r="B52" s="10">
        <f>IF($B$14&lt;&gt;"","the "&amp;$B$14&amp;" series",IF($B$12="",$B$11,IF($B$13="",$B$11&amp;" and "&amp;$B$12,$B$11&amp;", "&amp;$B$12&amp;" and "&amp;$B$13)))</f>
        <v/>
      </c>
    </row>
    <row r="53">
      <c r="A53" s="4" t="inlineStr">
        <is>
          <t>Work_email</t>
        </is>
      </c>
      <c r="B53" s="10">
        <f>UPPER(LEFT($B$52,1))&amp;MID($B$52,2,999)</f>
        <v/>
      </c>
    </row>
    <row r="54">
      <c r="A54" s="4" t="inlineStr">
        <is>
          <t>work_intro</t>
        </is>
      </c>
      <c r="B54" s="10">
        <f>IF($B$16=1,$B$11&amp;", ","")&amp;$B$15&amp;IF(OR($B$37="",$B$55&lt;&gt;""),"",IF(LEFT($B$37,1)=",",""," ")&amp;$B$37)</f>
        <v/>
      </c>
    </row>
    <row r="55">
      <c r="A55" s="4" t="inlineStr">
        <is>
          <t>support</t>
        </is>
      </c>
      <c r="B55" s="10">
        <f>IF(OR($B$22="",$B$59),"",", released in support of "&amp;$B$22)</f>
        <v/>
      </c>
    </row>
    <row r="56">
      <c r="A56" s="4" t="inlineStr">
        <is>
          <t>tweet_beneficiary</t>
        </is>
      </c>
      <c r="B56" s="10">
        <f>IF(OR($B$22="",$B$59),"",", in support of "&amp;$B$22)</f>
        <v/>
      </c>
    </row>
    <row r="57">
      <c r="A57" s="4" t="inlineStr">
        <is>
          <t>beneficiary_tagged</t>
        </is>
      </c>
      <c r="B57" s="10">
        <f>IF($B$22="","",$B$22&amp;IF($B$23="",""," (@"&amp;$B$23&amp;")"))</f>
        <v/>
      </c>
    </row>
    <row r="58" ht="80" customHeight="1">
      <c r="A58" s="4" t="inlineStr">
        <is>
          <t>bio_tagged</t>
        </is>
      </c>
      <c r="B58" s="10">
        <f>IF($B$6="",$B$35,SUBSTITUTE($B$35,$B$4,$B$46,1))</f>
        <v/>
      </c>
    </row>
    <row r="59">
      <c r="A59" s="4" t="inlineStr">
        <is>
          <t>hook_names_beneficiary</t>
        </is>
      </c>
      <c r="B59" s="10">
        <f>IF($B$22="",FALSE,ISNUMBER(SEARCH($B$22,$B$36)))</f>
        <v/>
      </c>
    </row>
    <row r="60">
      <c r="A60" s="4" t="inlineStr">
        <is>
          <t>opener_names_beneficiary</t>
        </is>
      </c>
      <c r="B60" s="10">
        <f>IF($B$22="",FALSE,ISNUMBER(SEARCH($B$22,$B$38)))</f>
        <v/>
      </c>
    </row>
    <row r="61">
      <c r="A61" s="4" t="inlineStr">
        <is>
          <t>features</t>
        </is>
      </c>
      <c r="B61" s="10">
        <f>$B$28&amp;IF($B$29="","",". "&amp;$B$29)&amp;IF($B$30="","",". "&amp;$B$30)&amp;IF($B$31="","",". "&amp;$B$31)&amp;IF($B$32="","",". "&amp;$B$32)&amp;"."</f>
        <v/>
      </c>
    </row>
    <row r="62" ht="60" customHeight="1">
      <c r="A62" s="4" t="inlineStr">
        <is>
          <t>features_list</t>
        </is>
      </c>
      <c r="B62" s="10">
        <f>"· "&amp;$B$28&amp;IF($B$29="","",CHAR(10)&amp;"· "&amp;$B$29)&amp;IF($B$30="","",CHAR(10)&amp;"· "&amp;$B$30)&amp;IF($B$31="","",CHAR(10)&amp;"· "&amp;$B$31)&amp;IF($B$32="","",CHAR(10)&amp;"· "&amp;$B$32)</f>
        <v/>
      </c>
    </row>
    <row r="63" ht="70" customHeight="1">
      <c r="A63" s="4" t="inlineStr">
        <is>
          <t>features_list_support</t>
        </is>
      </c>
      <c r="B63" s="10">
        <f>$B$62&amp;IF(OR($B$22="",$B$59),"",CHAR(10)&amp;"· Released in support of "&amp;$B$22)</f>
        <v/>
      </c>
    </row>
    <row r="64">
      <c r="A64" s="4" t="inlineStr">
        <is>
          <t>making_ours</t>
        </is>
      </c>
      <c r="B64" s="10">
        <f>SUBSTITUTE($B$39,"printmakers at Make-Ready","our printmakers at Make-Ready")</f>
        <v/>
      </c>
    </row>
    <row r="65">
      <c r="A65" s="4" t="inlineStr">
        <is>
          <t>making_ours_tagged</t>
        </is>
      </c>
      <c r="B65" s="10">
        <f>SUBSTITUTE($B$39,"printmakers at Make-Ready","our printmakers at Make-Ready (@make__ready)")</f>
        <v/>
      </c>
    </row>
    <row r="66">
      <c r="A66" s="4" t="inlineStr">
        <is>
          <t>launch_date</t>
        </is>
      </c>
      <c r="B66" s="10">
        <f>TEXT($B$20,"d mmmm")</f>
        <v/>
      </c>
    </row>
    <row r="67">
      <c r="A67" s="4" t="inlineStr">
        <is>
          <t>launch_time</t>
        </is>
      </c>
      <c r="B67" s="10">
        <f>TEXT($B$20,"hh:mm")&amp;" UK time"</f>
        <v/>
      </c>
    </row>
    <row r="68">
      <c r="A68" s="4" t="inlineStr">
        <is>
          <t>launch_weekday</t>
        </is>
      </c>
      <c r="B68" s="10">
        <f>TEXT($B$20,"dddd")</f>
        <v/>
      </c>
    </row>
    <row r="69">
      <c r="A69" s="4" t="inlineStr">
        <is>
          <t>launch_date_dd</t>
        </is>
      </c>
      <c r="B69" s="10">
        <f>TEXT($B$20,"dd mmmm")</f>
        <v/>
      </c>
    </row>
    <row r="70">
      <c r="A70" s="4" t="inlineStr">
        <is>
          <t>close_date</t>
        </is>
      </c>
      <c r="B70" s="10">
        <f>TEXT($B$21,"d mmmm")</f>
        <v/>
      </c>
    </row>
    <row r="71">
      <c r="A71" s="4" t="inlineStr">
        <is>
          <t>close_time</t>
        </is>
      </c>
      <c r="B71" s="10">
        <f>TEXT($B$21,"hh:mm")&amp;" UK time"</f>
        <v/>
      </c>
    </row>
    <row r="72">
      <c r="A72" s="4" t="inlineStr">
        <is>
          <t>close_weekday</t>
        </is>
      </c>
      <c r="B72" s="10">
        <f>TEXT($B$21,"dddd")</f>
        <v/>
      </c>
    </row>
    <row r="73">
      <c r="A73" s="4" t="inlineStr">
        <is>
          <t>close_date_dd</t>
        </is>
      </c>
      <c r="B73" s="10">
        <f>TEXT($B$21,"dd mmmm")</f>
        <v/>
      </c>
    </row>
    <row r="74">
      <c r="A74" s="4" t="inlineStr">
        <is>
          <t>collect_phrase</t>
        </is>
      </c>
      <c r="B74" s="10">
        <f>SUBSTITUTE($B$15," new "," ",1)</f>
        <v/>
      </c>
    </row>
    <row r="75">
      <c r="A75" s="4" t="inlineStr">
        <is>
          <t>edition_phrase_cap</t>
        </is>
      </c>
      <c r="B75" s="10">
        <f>UPPER(LEFT($B$15,1))&amp;MID($B$15,2,999)</f>
        <v/>
      </c>
    </row>
    <row r="76">
      <c r="A76" s="4" t="inlineStr">
        <is>
          <t>window_cap</t>
        </is>
      </c>
      <c r="B76" s="10">
        <f>UPPER(LEFT($B$19,1))&amp;MID($B$19,2,999)</f>
        <v/>
      </c>
    </row>
    <row r="77">
      <c r="A77" s="4" t="inlineStr">
        <is>
          <t>card</t>
        </is>
      </c>
      <c r="B77" s="10">
        <f>$B$11&amp;IF($B$40="","",CHAR(10)&amp;$B$40)&amp;IF($B$12="","",CHAR(10)&amp;CHAR(10)&amp;"Card: "&amp;$B$12&amp;IF($B$41="","",CHAR(10)&amp;$B$41))&amp;IF($B$13="","",CHAR(10)&amp;CHAR(10)&amp;"Card: "&amp;$B$13&amp;IF($B$42="","",CHAR(10)&amp;$B$42))</f>
        <v/>
      </c>
    </row>
    <row r="78">
      <c r="A78" s="4" t="inlineStr">
        <is>
          <t>quote_line</t>
        </is>
      </c>
      <c r="B78" s="10">
        <f>IF($B$43="","","“"&amp;$B$43&amp;"” – "&amp;$B$4)</f>
        <v/>
      </c>
    </row>
    <row r="79">
      <c r="A79" s="4" t="inlineStr">
        <is>
          <t>each_artwork</t>
        </is>
      </c>
      <c r="B79" s="10">
        <f>IF($B$16&gt;1," for each artwork","")</f>
        <v/>
      </c>
    </row>
    <row r="80">
      <c r="A80" s="4" t="inlineStr">
        <is>
          <t>work_word</t>
        </is>
      </c>
      <c r="B80" s="10">
        <f>IF($B$16&gt;1,"works","work")</f>
        <v/>
      </c>
    </row>
    <row r="81">
      <c r="A81" s="4" t="inlineStr">
        <is>
          <t>add_what</t>
        </is>
      </c>
      <c r="B81" s="10">
        <f>IF($B$16&gt;1,$B$49,$B$52)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SUBSTITUTE(SUBSTITUTE(SUBSTITUTE(B6,"{named}",Inputs!$B$46),"{work}",Inputs!$B$50),"{edition_phrase}",Inputs!$B$15)</f>
        <v/>
      </c>
    </row>
    <row r="7" ht="16" customHeight="1">
      <c r="A7" s="4" t="inlineStr">
        <is>
          <t>post · announce · status, series</t>
        </is>
      </c>
      <c r="B7" s="8" t="inlineStr">
        <is>
          <t>Announcing {edition_phrase} by {named}, from {work}.</t>
        </is>
      </c>
      <c r="C7" s="10">
        <f>SUBSTITUTE(SUBSTITUTE(SUBSTITUTE(B7,"{named}",Inputs!$B$46),"{work}",Inputs!$B$50),"{edition_phrase}",Inputs!$B$15)</f>
        <v/>
      </c>
    </row>
    <row r="8" ht="16" customHeight="1">
      <c r="A8" s="4" t="inlineStr">
        <is>
          <t>post · sustain · status</t>
        </is>
      </c>
      <c r="B8" s="8" t="inlineStr">
        <is>
          <t>A closer look at {work}, {edition_phrase} by {named}.</t>
        </is>
      </c>
      <c r="C8" s="10">
        <f>SUBSTITUTE(SUBSTITUTE(SUBSTITUTE(B8,"{named}",Inputs!$B$46),"{work}",Inputs!$B$50),"{edition_phrase}",Inputs!$B$15)</f>
        <v/>
      </c>
    </row>
    <row r="9" ht="16" customHeight="1">
      <c r="A9" s="4" t="inlineStr">
        <is>
          <t>post · artist's words · status</t>
        </is>
      </c>
      <c r="B9" s="8" t="inlineStr">
        <is>
          <t>“{quote}” – {artist}</t>
        </is>
      </c>
      <c r="C9" s="10">
        <f>SUBSTITUTE(SUBSTITUTE(B9,"{artist}",Inputs!$B$4),"{quote}",Inputs!$B$43)</f>
        <v/>
      </c>
    </row>
    <row r="10" ht="16" customHeight="1">
      <c r="A10" s="4" t="inlineStr">
        <is>
          <t>post · artist's words · second line</t>
        </is>
      </c>
      <c r="B10" s="8" t="inlineStr">
        <is>
          <t>{Work}, {edition_phrase} by {named}.</t>
        </is>
      </c>
      <c r="C10" s="10">
        <f>SUBSTITUTE(SUBSTITUTE(SUBSTITUTE(B10,"{named}",Inputs!$B$46),"{Work}",Inputs!$B$51),"{edition_phrase}",Inputs!$B$15)</f>
        <v/>
      </c>
    </row>
    <row r="11" ht="16" customHeight="1">
      <c r="A11" s="4" t="inlineStr">
        <is>
          <t>post · live · status</t>
        </is>
      </c>
      <c r="B11" s="8" t="inlineStr">
        <is>
          <t>{Work} by {named} is now available to collect, for {window} only.</t>
        </is>
      </c>
      <c r="C11" s="10">
        <f>SUBSTITUTE(SUBSTITUTE(SUBSTITUTE(B11,"{named}",Inputs!$B$46),"{Work}",Inputs!$B$51),"{window}",Inputs!$B$19)</f>
        <v/>
      </c>
    </row>
    <row r="12" ht="16" customHeight="1">
      <c r="A12" s="4" t="inlineStr">
        <is>
          <t>post · still time · status</t>
        </is>
      </c>
      <c r="B12" s="8" t="inlineStr">
        <is>
          <t>There's still time to collect {work} by {named}.</t>
        </is>
      </c>
      <c r="C12" s="10">
        <f>SUBSTITUTE(SUBSTITUTE(B12,"{named}",Inputs!$B$46),"{work}",Inputs!$B$50)</f>
        <v/>
      </c>
    </row>
    <row r="13" ht="16" customHeight="1">
      <c r="A13" s="4" t="inlineStr">
        <is>
          <t>post · last chance · status</t>
        </is>
      </c>
      <c r="B13" s="8" t="inlineStr">
        <is>
          <t>Last chance to collect {work} by {named}.</t>
        </is>
      </c>
      <c r="C13" s="10">
        <f>SUBSTITUTE(SUBSTITUTE(B13,"{named}",Inputs!$B$46),"{work}",Inputs!$B$50)</f>
        <v/>
      </c>
    </row>
    <row r="14" ht="16" customHeight="1">
      <c r="A14" s="4" t="inlineStr">
        <is>
          <t>post · last chance · status, draw</t>
        </is>
      </c>
      <c r="B14" s="8" t="inlineStr">
        <is>
          <t>Last chance to enter the draw for {work} by {named}.</t>
        </is>
      </c>
      <c r="C14" s="10">
        <f>SUBSTITUTE(SUBSTITUTE(B14,"{named}",Inputs!$B$46),"{work}",Inputs!$B$50)</f>
        <v/>
      </c>
    </row>
    <row r="15" ht="16" customHeight="1">
      <c r="A15" s="4" t="inlineStr">
        <is>
          <t>post · features line</t>
        </is>
      </c>
      <c r="B15" s="8" t="inlineStr">
        <is>
          <t>{features}</t>
        </is>
      </c>
      <c r="C15" s="10">
        <f>SUBSTITUTE(B15,"{features}",Inputs!$B$61)</f>
        <v/>
      </c>
    </row>
    <row r="16" ht="16" customHeight="1">
      <c r="A16" s="4" t="inlineStr">
        <is>
          <t>post · beneficiary line</t>
        </is>
      </c>
      <c r="B16" s="8" t="inlineStr">
        <is>
          <t>Released in support of {beneficiary_tagged}.</t>
        </is>
      </c>
      <c r="C16" s="10">
        <f>SUBSTITUTE(B16,"{beneficiary_tagged}",Inputs!$B$57)</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SUBSTITUTE(SUBSTITUTE(SUBSTITUTE(B17,"{window}",Inputs!$B$19),"{launch_date}",Inputs!$B$66),"{launch_time}",Inputs!$B$67)</f>
        <v/>
      </c>
    </row>
    <row r="18" ht="32" customHeight="1">
      <c r="A18" s="4" t="inlineStr">
        <is>
          <t>post · action before launch, draw</t>
        </is>
      </c>
      <c r="B18" s="8" t="inlineStr">
        <is>
          <t>Enter the draw via our link in bio. Closes {close_date} at {close_time}.</t>
        </is>
      </c>
      <c r="C18" s="10">
        <f>SUBSTITUTE(SUBSTITUTE(B18,"{close_date}",Inputs!$B$70),"{close_time}",Inputs!$B$71)</f>
        <v/>
      </c>
    </row>
    <row r="19" ht="16" customHeight="1">
      <c r="A19" s="4" t="inlineStr">
        <is>
          <t>post · action while open, timed</t>
        </is>
      </c>
      <c r="B19" s="8" t="inlineStr">
        <is>
          <t>Link in bio to buy {a_unit}. Closes {close_date} at {close_time}.</t>
        </is>
      </c>
      <c r="C19" s="10">
        <f>SUBSTITUTE(SUBSTITUTE(SUBSTITUTE(B19,"{a_unit}",Inputs!$B$49),"{close_date}",Inputs!$B$70),"{close_time}",Inputs!$B$71)</f>
        <v/>
      </c>
    </row>
    <row r="20" ht="32" customHeight="1">
      <c r="A20" s="4" t="inlineStr">
        <is>
          <t>post · action while open, draw</t>
        </is>
      </c>
      <c r="B20" s="8" t="inlineStr">
        <is>
          <t>Enter the draw via our link in bio. Closes {close_date} at {close_time}.</t>
        </is>
      </c>
      <c r="C20" s="10">
        <f>SUBSTITUTE(SUBSTITUTE(B20,"{close_date}",Inputs!$B$70),"{close_time}",Inputs!$B$71)</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SUBSTITUTE(SUBSTITUTE(B24,"{collab_x}",Inputs!$B$48),"{ordinal}",Inputs!$B$10)</f>
        <v/>
      </c>
    </row>
    <row r="25" ht="16" customHeight="1">
      <c r="A25" s="4" t="inlineStr">
        <is>
          <t>tweet · coming soon · action</t>
        </is>
      </c>
      <c r="B25" s="8" t="inlineStr">
        <is>
          <t>Sign up for updates: {link}</t>
        </is>
      </c>
      <c r="C25" s="10">
        <f>SUBSTITUTE(B25,"{link}",Inputs!$B$8)</f>
        <v/>
      </c>
    </row>
    <row r="26" ht="16" customHeight="1">
      <c r="A26" s="4" t="inlineStr">
        <is>
          <t>tweet · announce · status</t>
        </is>
      </c>
      <c r="B26" s="8" t="inlineStr">
        <is>
          <t>Announcing {work}, {edition_phrase} by {named_x}{tweet_beneficiary}.</t>
        </is>
      </c>
      <c r="C26" s="10">
        <f>SUBSTITUTE(SUBSTITUTE(SUBSTITUTE(SUBSTITUTE(B26,"{named_x}",Inputs!$B$47),"{work}",Inputs!$B$50),"{tweet_beneficiary}",Inputs!$B$56),"{edition_phrase}",Inputs!$B$15)</f>
        <v/>
      </c>
    </row>
    <row r="27" ht="32" customHeight="1">
      <c r="A27" s="4" t="inlineStr">
        <is>
          <t>tweet · announce · status, series</t>
        </is>
      </c>
      <c r="B27" s="8" t="inlineStr">
        <is>
          <t>Announcing {edition_phrase} by {named_x}, from {work}{tweet_beneficiary}.</t>
        </is>
      </c>
      <c r="C27" s="10">
        <f>SUBSTITUTE(SUBSTITUTE(SUBSTITUTE(SUBSTITUTE(B27,"{named_x}",Inputs!$B$47),"{work}",Inputs!$B$50),"{tweet_beneficiary}",Inputs!$B$56),"{edition_phrase}",Inputs!$B$15)</f>
        <v/>
      </c>
    </row>
    <row r="28" ht="32" customHeight="1">
      <c r="A28" s="4" t="inlineStr">
        <is>
          <t>tweet · action before launch, timed</t>
        </is>
      </c>
      <c r="B28" s="8" t="inlineStr">
        <is>
          <t>Launches {launch_date} at {launch_time} for {window}. Sign up for updates: {link}</t>
        </is>
      </c>
      <c r="C28" s="10">
        <f>SUBSTITUTE(SUBSTITUTE(SUBSTITUTE(SUBSTITUTE(B28,"{link}",Inputs!$B$8),"{window}",Inputs!$B$19),"{launch_date}",Inputs!$B$66),"{launch_time}",Inputs!$B$67)</f>
        <v/>
      </c>
    </row>
    <row r="29" ht="16" customHeight="1">
      <c r="A29" s="4" t="inlineStr">
        <is>
          <t>tweet · action, draw</t>
        </is>
      </c>
      <c r="B29" s="8" t="inlineStr">
        <is>
          <t>Closes {close_date} at {close_time}. Enter the draw: {link}</t>
        </is>
      </c>
      <c r="C29" s="10">
        <f>SUBSTITUTE(SUBSTITUTE(SUBSTITUTE(B29,"{link}",Inputs!$B$8),"{close_date}",Inputs!$B$70),"{close_time}",Inputs!$B$71)</f>
        <v/>
      </c>
    </row>
    <row r="30" ht="16" customHeight="1">
      <c r="A30" s="4" t="inlineStr">
        <is>
          <t>tweet · action while open, timed</t>
        </is>
      </c>
      <c r="B30" s="8" t="inlineStr">
        <is>
          <t>Closes {close_date} at {close_time}. Buy {a_unit}: {link}</t>
        </is>
      </c>
      <c r="C30" s="10">
        <f>SUBSTITUTE(SUBSTITUTE(SUBSTITUTE(SUBSTITUTE(B30,"{link}",Inputs!$B$8),"{a_unit}",Inputs!$B$49),"{close_date}",Inputs!$B$70),"{close_time}",Inputs!$B$71)</f>
        <v/>
      </c>
    </row>
    <row r="31">
      <c r="A31" s="3" t="inlineStr">
        <is>
          <t>EMAILS · shared</t>
        </is>
      </c>
    </row>
    <row r="32" ht="16" customHeight="1">
      <c r="A32" s="4" t="inlineStr">
        <is>
          <t>email · greeting</t>
        </is>
      </c>
      <c r="B32" s="8" t="inlineStr">
        <is>
          <t>Hi {{ personalization_token('contact.firstname', 'there') }},</t>
        </is>
      </c>
      <c r="C32" s="10">
        <f>B32</f>
        <v/>
      </c>
    </row>
    <row r="33" ht="32" customHeight="1">
      <c r="A33" s="4" t="inlineStr">
        <is>
          <t>email · questions line</t>
        </is>
      </c>
      <c r="B33" s="8" t="inlineStr">
        <is>
          <t>If you have any questions, please don't hesitate to get in touch by replying to this email.</t>
        </is>
      </c>
      <c r="C33" s="10">
        <f>B33</f>
        <v/>
      </c>
    </row>
    <row r="34" ht="32" customHeight="1">
      <c r="A34" s="4" t="inlineStr">
        <is>
          <t>email · draw line</t>
        </is>
      </c>
      <c r="B34" s="8" t="inlineStr">
        <is>
          <t>Enter the draw for a chance to collect. Closes at {close_time} on {close_date}.</t>
        </is>
      </c>
      <c r="C34" s="10">
        <f>SUBSTITUTE(SUBSTITUTE(B34,"{close_date}",Inputs!$B$70),"{close_time}",Inputs!$B$71)</f>
        <v/>
      </c>
    </row>
    <row r="35" ht="64" customHeight="1">
      <c r="A35" s="4" t="inlineStr">
        <is>
          <t>email · edition numbers line</t>
        </is>
      </c>
      <c r="B35" s="8" t="inlineStr">
        <is>
          <t>Earlier orders will typically receive a lower edition number, with framed editions receiving lower edition numbers than unframed prints. You can read more on how we allocate edition numbers across a release here.</t>
        </is>
      </c>
      <c r="C35" s="10">
        <f>B35</f>
        <v/>
      </c>
    </row>
    <row r="36" ht="16" customHeight="1">
      <c r="A36" s="4" t="inlineStr">
        <is>
          <t>email · kicker · collect</t>
        </is>
      </c>
      <c r="B36" s="8" t="inlineStr">
        <is>
          <t>Collect {a_unit} by {artist}</t>
        </is>
      </c>
      <c r="C36" s="10">
        <f>SUBSTITUTE(SUBSTITUTE(B36,"{artist}",Inputs!$B$4),"{a_unit}",Inputs!$B$49)</f>
        <v/>
      </c>
    </row>
    <row r="37" ht="32" customHeight="1">
      <c r="A37" s="4" t="inlineStr">
        <is>
          <t>email · framing offer · welcome</t>
        </is>
      </c>
      <c r="B37" s="8" t="inlineStr">
        <is>
          <t>As a welcome gesture, enjoy {framing_percent}% off our in-house framing on your first purchase using the code {framing_code} at checkout.</t>
        </is>
      </c>
      <c r="C37" s="10">
        <f>SUBSTITUTE(SUBSTITUTE(B37,"{framing_code}",Inputs!$B$26),"{framing_percent}",Inputs!$B$27)</f>
        <v/>
      </c>
    </row>
    <row r="38" ht="32" customHeight="1">
      <c r="A38" s="4" t="inlineStr">
        <is>
          <t>email · framing offer · reminder</t>
        </is>
      </c>
      <c r="B38" s="8" t="inlineStr">
        <is>
          <t>As a reminder, you can enjoy {framing_percent}% off our in-house framing on your first purchase using the code {framing_code} at checkout.</t>
        </is>
      </c>
      <c r="C38" s="10">
        <f>SUBSTITUTE(SUBSTITUTE(B38,"{framing_code}",Inputs!$B$26),"{framing_percent}",Inputs!$B$27)</f>
        <v/>
      </c>
    </row>
    <row r="39">
      <c r="A39" s="3" t="inlineStr">
        <is>
          <t>EMAILS · announcement</t>
        </is>
      </c>
    </row>
    <row r="40" ht="16" customHeight="1">
      <c r="A40" s="4" t="inlineStr">
        <is>
          <t>email · announce · subject</t>
        </is>
      </c>
      <c r="B40" s="8" t="inlineStr">
        <is>
          <t>{artist} – {edition_phrase_cap}</t>
        </is>
      </c>
      <c r="C40" s="10">
        <f>SUBSTITUTE(SUBSTITUTE(B40,"{artist}",Inputs!$B$4),"{edition_phrase_cap}",Inputs!$B$75)</f>
        <v/>
      </c>
    </row>
    <row r="41" ht="32" customHeight="1">
      <c r="A41" s="4" t="inlineStr">
        <is>
          <t>email · announce · opener</t>
        </is>
      </c>
      <c r="B41" s="8" t="inlineStr">
        <is>
          <t>We're delighted to announce our {ordinal} collaboration with {collab_with} – {work_intro}{support}.</t>
        </is>
      </c>
      <c r="C41" s="10">
        <f>SUBSTITUTE(SUBSTITUTE(SUBSTITUTE(SUBSTITUTE(B41,"{collab_with}",Inputs!$B$5),"{work_intro}",Inputs!$B$54),"{support}",Inputs!$B$55),"{ordinal}",Inputs!$B$10)</f>
        <v/>
      </c>
    </row>
    <row r="42" ht="32" customHeight="1">
      <c r="A42" s="4" t="inlineStr">
        <is>
          <t>email · announce · launch line, timed</t>
        </is>
      </c>
      <c r="B42" s="8" t="inlineStr">
        <is>
          <t>The edition will be available to collect for {window} only, starting at {launch_time} on {launch_weekday}, {launch_date_dd}.</t>
        </is>
      </c>
      <c r="C42" s="10">
        <f>SUBSTITUTE(SUBSTITUTE(SUBSTITUTE(SUBSTITUTE(B42,"{window}",Inputs!$B$19),"{launch_time}",Inputs!$B$67),"{launch_weekday}",Inputs!$B$68),"{launch_date_dd}",Inputs!$B$69)</f>
        <v/>
      </c>
    </row>
    <row r="43" ht="16" customHeight="1">
      <c r="A43" s="4" t="inlineStr">
        <is>
          <t>email · announce · register line</t>
        </is>
      </c>
      <c r="B43" s="8" t="inlineStr">
        <is>
          <t>Click below to learn more and register for updates.</t>
        </is>
      </c>
      <c r="C43" s="10">
        <f>B43</f>
        <v/>
      </c>
    </row>
    <row r="44">
      <c r="A44" s="3" t="inlineStr">
        <is>
          <t>EMAILS · welcome (TL flow)</t>
        </is>
      </c>
    </row>
    <row r="45" ht="32" customHeight="1">
      <c r="A45" s="4" t="inlineStr">
        <is>
          <t>email · welcome · 1</t>
        </is>
      </c>
      <c r="B45" s="8" t="inlineStr">
        <is>
          <t>Welcome {{ personalization_token('contact.firstname', 'to Avant Arte') }}!</t>
        </is>
      </c>
      <c r="C45" s="10">
        <f>B45</f>
        <v/>
      </c>
    </row>
    <row r="46" ht="64" customHeight="1">
      <c r="A46" s="4" t="inlineStr">
        <is>
          <t>email · welcome · 2</t>
        </is>
      </c>
      <c r="B46" s="8" t="inlineStr">
        <is>
          <t>Avant Arte began with a simple mission – to make collecting art more accessible. Since then, we've collaborated with hundreds of inspiring artists, from rising stars to icons like Ai Weiwei, Jenny Holzer, Lee Ufan and Carrie Mae Weems.</t>
        </is>
      </c>
      <c r="C46" s="10">
        <f>B46</f>
        <v/>
      </c>
    </row>
    <row r="47" ht="64" customHeight="1">
      <c r="A47" s="4" t="inlineStr">
        <is>
          <t>email · welcome · 3</t>
        </is>
      </c>
      <c r="B47" s="8" t="inlineStr">
        <is>
          <t>Our upcoming collaboration with {collab_with} is the latest in this lineage. If you're new to collecting art or curious about limited editions, our library of guides is a good place to start. In particular, How to collect art and What is an edition?</t>
        </is>
      </c>
      <c r="C47" s="10">
        <f>SUBSTITUTE(B47,"{collab_with}",Inputs!$B$5)</f>
        <v/>
      </c>
    </row>
    <row r="48" ht="32" customHeight="1">
      <c r="A48" s="4" t="inlineStr">
        <is>
          <t>email · welcome · 4</t>
        </is>
      </c>
      <c r="B48" s="8" t="inlineStr">
        <is>
          <t>Let us know if you have any questions. We're excited to see what you collect.</t>
        </is>
      </c>
      <c r="C48" s="10">
        <f>B48</f>
        <v/>
      </c>
    </row>
    <row r="49">
      <c r="A49" s="3" t="inlineStr">
        <is>
          <t>EMAILS · early access</t>
        </is>
      </c>
    </row>
    <row r="50" ht="32" customHeight="1">
      <c r="A50" s="4" t="inlineStr">
        <is>
          <t>email · early access, timed · opener</t>
        </is>
      </c>
      <c r="B50" s="8" t="inlineStr">
        <is>
          <t>Our {ordinal} collaboration with {collab_with} launches tomorrow at {launch_time} and will be available to collect for {window} only.</t>
        </is>
      </c>
      <c r="C50" s="10">
        <f>SUBSTITUTE(SUBSTITUTE(SUBSTITUTE(SUBSTITUTE(B50,"{collab_with}",Inputs!$B$5),"{ordinal}",Inputs!$B$10),"{window}",Inputs!$B$19),"{launch_time}",Inputs!$B$67)</f>
        <v/>
      </c>
    </row>
    <row r="51" ht="32" customHeight="1">
      <c r="A51" s="4" t="inlineStr">
        <is>
          <t>email · early access, timed · registered line</t>
        </is>
      </c>
      <c r="B51" s="8" t="inlineStr">
        <is>
          <t>As a thank you for registering for updates, we're offering you the chance to collect the release 24 hours before everyone else.</t>
        </is>
      </c>
      <c r="C51" s="10">
        <f>B51</f>
        <v/>
      </c>
    </row>
    <row r="52" ht="32" customHeight="1">
      <c r="A52" s="4" t="inlineStr">
        <is>
          <t>email · early access, timed · past collectors line</t>
        </is>
      </c>
      <c r="B52" s="8" t="inlineStr">
        <is>
          <t>As a previous collector of the artist, we're offering you the chance to order the collaboration 24 hours before everyone else.</t>
        </is>
      </c>
      <c r="C52" s="10">
        <f>B52</f>
        <v/>
      </c>
    </row>
    <row r="53" ht="16" customHeight="1">
      <c r="A53" s="4" t="inlineStr">
        <is>
          <t>email · early access, timed · unlock line</t>
        </is>
      </c>
      <c r="B53" s="8" t="inlineStr">
        <is>
          <t>Unlock early access using the link below.</t>
        </is>
      </c>
      <c r="C53" s="10">
        <f>B53</f>
        <v/>
      </c>
    </row>
    <row r="54" ht="32" customHeight="1">
      <c r="A54" s="4" t="inlineStr">
        <is>
          <t>email · early access, draw · 1</t>
        </is>
      </c>
      <c r="B54" s="8" t="inlineStr">
        <is>
          <t>We're currently preparing the launch of our {ordinal} collaboration with {collab_with} – {work_intro}{support}.</t>
        </is>
      </c>
      <c r="C54" s="10">
        <f>SUBSTITUTE(SUBSTITUTE(SUBSTITUTE(SUBSTITUTE(B54,"{collab_with}",Inputs!$B$5),"{work_intro}",Inputs!$B$54),"{support}",Inputs!$B$55),"{ordinal}",Inputs!$B$10)</f>
        <v/>
      </c>
    </row>
    <row r="55" ht="96" customHeight="1">
      <c r="A55" s="4" t="inlineStr">
        <is>
          <t>email · early access, draw · 2</t>
        </is>
      </c>
      <c r="B55"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5" s="10">
        <f>SUBSTITUTE(B55,"{launch_date}",Inputs!$B$66)</f>
        <v/>
      </c>
    </row>
    <row r="56" ht="32" customHeight="1">
      <c r="A56" s="4" t="inlineStr">
        <is>
          <t>email · early access, draw · 3</t>
        </is>
      </c>
      <c r="B56" s="8" t="inlineStr">
        <is>
          <t>Explore the artwork and place your order via the private link below. Use code {early_access_code} to unlock early access.</t>
        </is>
      </c>
      <c r="C56" s="10">
        <f>SUBSTITUTE(B56,"{early_access_code}",Inputs!$B$25)</f>
        <v/>
      </c>
    </row>
    <row r="57" ht="32" customHeight="1">
      <c r="A57" s="4" t="inlineStr">
        <is>
          <t>email · insiders · opener</t>
        </is>
      </c>
      <c r="B57" s="8" t="inlineStr">
        <is>
          <t>I'm delighted to share our {ordinal} collaboration with {collab_with} – {work_intro}{support}.</t>
        </is>
      </c>
      <c r="C57" s="10">
        <f>SUBSTITUTE(SUBSTITUTE(SUBSTITUTE(SUBSTITUTE(B57,"{collab_with}",Inputs!$B$5),"{work_intro}",Inputs!$B$54),"{support}",Inputs!$B$55),"{ordinal}",Inputs!$B$10)</f>
        <v/>
      </c>
    </row>
    <row r="58" ht="64" customHeight="1">
      <c r="A58" s="4" t="inlineStr">
        <is>
          <t>email · insiders · mechanics, draw</t>
        </is>
      </c>
      <c r="B58" s="8" t="inlineStr">
        <is>
          <t>The edition will launch publicly on {launch_date} and will be allocated by a randomised draw. However, for the next 48 hours, I'm excited to offer you a first look, plus early access to a limited number of pre-orders.</t>
        </is>
      </c>
      <c r="C58" s="10">
        <f>SUBSTITUTE(B58,"{launch_date}",Inputs!$B$66)</f>
        <v/>
      </c>
    </row>
    <row r="59" ht="48" customHeight="1">
      <c r="A59" s="4" t="inlineStr">
        <is>
          <t>email · insiders · mechanics, timed</t>
        </is>
      </c>
      <c r="B59" s="8" t="inlineStr">
        <is>
          <t>The edition launches tomorrow at {launch_time} and will be available to collect for {window} only. For the next 24 hours, I'm excited to offer you early access ahead of the public launch.</t>
        </is>
      </c>
      <c r="C59" s="10">
        <f>SUBSTITUTE(SUBSTITUTE(B59,"{window}",Inputs!$B$19),"{launch_time}",Inputs!$B$67)</f>
        <v/>
      </c>
    </row>
    <row r="60" ht="32" customHeight="1">
      <c r="A60" s="4" t="inlineStr">
        <is>
          <t>email · insiders · code line, draw</t>
        </is>
      </c>
      <c r="B60" s="8" t="inlineStr">
        <is>
          <t>Discover the artwork and place your order via the private link below. Use code {early_access_code} to unlock early access.</t>
        </is>
      </c>
      <c r="C60" s="10">
        <f>SUBSTITUTE(B60,"{early_access_code}",Inputs!$B$25)</f>
        <v/>
      </c>
    </row>
    <row r="61" ht="16" customHeight="1">
      <c r="A61" s="4" t="inlineStr">
        <is>
          <t>email · insiders · link line, timed</t>
        </is>
      </c>
      <c r="B61" s="8" t="inlineStr">
        <is>
          <t>Discover the artwork and place your order via the private link below.</t>
        </is>
      </c>
      <c r="C61" s="10">
        <f>B61</f>
        <v/>
      </c>
    </row>
    <row r="62" ht="64" customHeight="1">
      <c r="A62" s="4" t="inlineStr">
        <is>
          <t>email · insiders · sign-off</t>
        </is>
      </c>
      <c r="B62" s="8" t="inlineStr">
        <is>
          <t>Best regards,
{advisor}
Art Advisor at Avant Arte</t>
        </is>
      </c>
      <c r="C62" s="10">
        <f>SUBSTITUTE(B62,"{advisor}",Inputs!$B$24)</f>
        <v/>
      </c>
    </row>
    <row r="63">
      <c r="A63" s="3" t="inlineStr">
        <is>
          <t>EMAILS · the window (TL)</t>
        </is>
      </c>
    </row>
    <row r="64" ht="32" customHeight="1">
      <c r="A64" s="4" t="inlineStr">
        <is>
          <t>email · live · opener</t>
        </is>
      </c>
      <c r="B64" s="8" t="inlineStr">
        <is>
          <t>Our {ordinal} collaboration with {collab_with} is now available to collect for {window} only – {work_intro}{support}.</t>
        </is>
      </c>
      <c r="C64" s="10">
        <f>SUBSTITUTE(SUBSTITUTE(SUBSTITUTE(SUBSTITUTE(SUBSTITUTE(B64,"{collab_with}",Inputs!$B$5),"{work_intro}",Inputs!$B$54),"{support}",Inputs!$B$55),"{ordinal}",Inputs!$B$10),"{window}",Inputs!$B$19)</f>
        <v/>
      </c>
    </row>
    <row r="65" ht="48" customHeight="1">
      <c r="A65" s="4" t="inlineStr">
        <is>
          <t>email · live · closing line</t>
        </is>
      </c>
      <c r="B65" s="8" t="inlineStr">
        <is>
          <t>The opportunity to collect an edition ends at {close_time} on {close_weekday}, {close_date_dd}. Click the link below to add {add_what} to your collection.</t>
        </is>
      </c>
      <c r="C65" s="10">
        <f>SUBSTITUTE(SUBSTITUTE(SUBSTITUTE(SUBSTITUTE(B65,"{close_time}",Inputs!$B$71),"{close_weekday}",Inputs!$B$72),"{close_date_dd}",Inputs!$B$73),"{add_what}",Inputs!$B$81)</f>
        <v/>
      </c>
    </row>
    <row r="66" ht="16" customHeight="1">
      <c r="A66" s="4" t="inlineStr">
        <is>
          <t>email · halfway · headline</t>
        </is>
      </c>
      <c r="B66" s="8" t="inlineStr">
        <is>
          <t>24 hours down, 24 to go</t>
        </is>
      </c>
      <c r="C66" s="10">
        <f>B66</f>
        <v/>
      </c>
    </row>
    <row r="67" ht="16" customHeight="1">
      <c r="A67" s="4" t="inlineStr">
        <is>
          <t>email · halfway · footer</t>
        </is>
      </c>
      <c r="B67" s="8" t="inlineStr">
        <is>
          <t>There's still time to add {a_unit} to your collection.</t>
        </is>
      </c>
      <c r="C67" s="10">
        <f>SUBSTITUTE(B67,"{a_unit}",Inputs!$B$49)</f>
        <v/>
      </c>
    </row>
    <row r="68" ht="16" customHeight="1">
      <c r="A68" s="4" t="inlineStr">
        <is>
          <t>email · 5 days · headline</t>
        </is>
      </c>
      <c r="B68" s="8" t="inlineStr">
        <is>
          <t>2 days down, 5 days to go</t>
        </is>
      </c>
      <c r="C68" s="10">
        <f>B68</f>
        <v/>
      </c>
    </row>
    <row r="69" ht="16" customHeight="1">
      <c r="A69" s="4" t="inlineStr">
        <is>
          <t>email · 3 days · headline</t>
        </is>
      </c>
      <c r="B69" s="8" t="inlineStr">
        <is>
          <t>Three days left to collect</t>
        </is>
      </c>
      <c r="C69" s="10">
        <f>B69</f>
        <v/>
      </c>
    </row>
    <row r="70" ht="32" customHeight="1">
      <c r="A70" s="4" t="inlineStr">
        <is>
          <t>email · 3 days · 1</t>
        </is>
      </c>
      <c r="B70" s="8" t="inlineStr">
        <is>
          <t>There are just three days left to collect {collect_phrase} by {artist}.</t>
        </is>
      </c>
      <c r="C70" s="10">
        <f>SUBSTITUTE(SUBSTITUTE(B70,"{artist}",Inputs!$B$4),"{collect_phrase}",Inputs!$B$74)</f>
        <v/>
      </c>
    </row>
    <row r="71" ht="32" customHeight="1">
      <c r="A71" s="4" t="inlineStr">
        <is>
          <t>email · 3 days · 2</t>
        </is>
      </c>
      <c r="B71" s="8" t="inlineStr">
        <is>
          <t>Click the link to collect before {close_time} on {close_weekday}, {close_date_dd}.</t>
        </is>
      </c>
      <c r="C71" s="10">
        <f>SUBSTITUTE(SUBSTITUTE(SUBSTITUTE(B71,"{close_time}",Inputs!$B$71),"{close_weekday}",Inputs!$B$72),"{close_date_dd}",Inputs!$B$73)</f>
        <v/>
      </c>
    </row>
    <row r="72" ht="16" customHeight="1">
      <c r="A72" s="4" t="inlineStr">
        <is>
          <t>email · days to go · footer</t>
        </is>
      </c>
      <c r="B72" s="8" t="inlineStr">
        <is>
          <t>Add {a_unit} to your collection</t>
        </is>
      </c>
      <c r="C72" s="10">
        <f>SUBSTITUTE(B72,"{a_unit}",Inputs!$B$49)</f>
        <v/>
      </c>
    </row>
    <row r="73">
      <c r="A73" s="3" t="inlineStr">
        <is>
          <t>EMAILS · last chance</t>
        </is>
      </c>
    </row>
    <row r="74" ht="48" customHeight="1">
      <c r="A74" s="4" t="inlineStr">
        <is>
          <t>email · last chance, timed · 1</t>
        </is>
      </c>
      <c r="B74" s="8" t="inlineStr">
        <is>
          <t>It's now or never for our {ordinal} collaboration with {collab_with} – {collect_phrase} will be available to order until {close_time} on {close_weekday}, {close_date_dd}.</t>
        </is>
      </c>
      <c r="C74" s="10">
        <f>SUBSTITUTE(SUBSTITUTE(SUBSTITUTE(SUBSTITUTE(SUBSTITUTE(SUBSTITUTE(B74,"{collab_with}",Inputs!$B$5),"{collect_phrase}",Inputs!$B$74),"{ordinal}",Inputs!$B$10),"{close_time}",Inputs!$B$71),"{close_weekday}",Inputs!$B$72),"{close_date_dd}",Inputs!$B$73)</f>
        <v/>
      </c>
    </row>
    <row r="75" ht="32" customHeight="1">
      <c r="A75" s="4" t="inlineStr">
        <is>
          <t>email · last chance, timed · 2</t>
        </is>
      </c>
      <c r="B75" s="8" t="inlineStr">
        <is>
          <t>After this time, the edition size{each_artwork} will be confirmed, and the {work_word} will no longer be available to purchase.</t>
        </is>
      </c>
      <c r="C75" s="10">
        <f>SUBSTITUTE(SUBSTITUTE(B75,"{each_artwork}",Inputs!$B$79),"{work_word}",Inputs!$B$80)</f>
        <v/>
      </c>
    </row>
    <row r="76" ht="32" customHeight="1">
      <c r="A76" s="4" t="inlineStr">
        <is>
          <t>email · last chance, draw · 1</t>
        </is>
      </c>
      <c r="B76" s="8" t="inlineStr">
        <is>
          <t>This is your final opportunity to enter the draw for {work_email}, {collect_phrase} by {artist}.</t>
        </is>
      </c>
      <c r="C76" s="10">
        <f>SUBSTITUTE(SUBSTITUTE(SUBSTITUTE(B76,"{artist}",Inputs!$B$4),"{work_email}",Inputs!$B$52),"{collect_phrase}",Inputs!$B$74)</f>
        <v/>
      </c>
    </row>
    <row r="77" ht="32" customHeight="1">
      <c r="A77" s="4" t="inlineStr">
        <is>
          <t>email · last chance, draw · 2</t>
        </is>
      </c>
      <c r="B77" s="8" t="inlineStr">
        <is>
          <t>For a chance to collect, click the link below to enter the draw. The draw closes at {close_time} on {close_weekday}, {close_date_dd}.</t>
        </is>
      </c>
      <c r="C77" s="10">
        <f>SUBSTITUTE(SUBSTITUTE(SUBSTITUTE(B77,"{close_time}",Inputs!$B$71),"{close_weekday}",Inputs!$B$72),"{close_date_dd}",Inputs!$B$73)</f>
        <v/>
      </c>
    </row>
    <row r="78">
      <c r="A78" s="3" t="inlineStr">
        <is>
          <t>EMAILS · surveys (LE)</t>
        </is>
      </c>
    </row>
    <row r="79" ht="16" customHeight="1">
      <c r="A79" s="4" t="inlineStr">
        <is>
          <t>email · first-time survey · subject</t>
        </is>
      </c>
      <c r="B79" s="8" t="inlineStr">
        <is>
          <t>Congratulations on your first Avant Arte edition</t>
        </is>
      </c>
      <c r="C79" s="10">
        <f>B79</f>
        <v/>
      </c>
    </row>
    <row r="80" ht="32" customHeight="1">
      <c r="A80" s="4" t="inlineStr">
        <is>
          <t>email · first-time survey · 1</t>
        </is>
      </c>
      <c r="B80" s="8" t="inlineStr">
        <is>
          <t>Thank you for adding our collaboration with {collab_with} to your collection. Great choice!</t>
        </is>
      </c>
      <c r="C80" s="10">
        <f>SUBSTITUTE(B80,"{collab_with}",Inputs!$B$5)</f>
        <v/>
      </c>
    </row>
    <row r="81" ht="48" customHeight="1">
      <c r="A81" s="4" t="inlineStr">
        <is>
          <t>email · first-time survey · 2</t>
        </is>
      </c>
      <c r="B81" s="8" t="inlineStr">
        <is>
          <t>I'm {advisor}, an art advisor at Avant Arte. I'm here to connect collectors with artists by making suggestions, answering questions and offering early access to our collaborations.</t>
        </is>
      </c>
      <c r="C81" s="10">
        <f>SUBSTITUTE(B81,"{advisor}",Inputs!$B$24)</f>
        <v/>
      </c>
    </row>
    <row r="82" ht="32" customHeight="1">
      <c r="A82" s="4" t="inlineStr">
        <is>
          <t>email · first-time survey · 3</t>
        </is>
      </c>
      <c r="B82" s="8" t="inlineStr">
        <is>
          <t>If you have two minutes to complete a short survey about your collecting journey to date, your responses will help guide my recommendations.</t>
        </is>
      </c>
      <c r="C82" s="10">
        <f>B82</f>
        <v/>
      </c>
    </row>
    <row r="83" ht="16" customHeight="1">
      <c r="A83" s="4" t="inlineStr">
        <is>
          <t>email · first-time survey · 4</t>
        </is>
      </c>
      <c r="B83" s="8" t="inlineStr">
        <is>
          <t>Any questions? Reply to this email.</t>
        </is>
      </c>
      <c r="C83" s="10">
        <f>B83</f>
        <v/>
      </c>
    </row>
    <row r="84" ht="48" customHeight="1">
      <c r="A84" s="4" t="inlineStr">
        <is>
          <t>email · non-purchaser survey · 1</t>
        </is>
      </c>
      <c r="B84" s="8" t="inlineStr">
        <is>
          <t>As someone who registered for updates but ultimately decided not to enter the draw for our collaboration with {collab_with}, we'd love your feedback.</t>
        </is>
      </c>
      <c r="C84" s="10">
        <f>SUBSTITUTE(B84,"{collab_with}",Inputs!$B$5)</f>
        <v/>
      </c>
    </row>
    <row r="85" ht="32" customHeight="1">
      <c r="A85" s="4" t="inlineStr">
        <is>
          <t>email · non-purchaser survey · 2</t>
        </is>
      </c>
      <c r="B85" s="8" t="inlineStr">
        <is>
          <t>This two-minute survey will guide our future collaborations and help us recommend the right artists and editions for your collection.</t>
        </is>
      </c>
      <c r="C85" s="10">
        <f>B85</f>
        <v/>
      </c>
    </row>
    <row r="86" ht="48" customHeight="1">
      <c r="A86" s="4" t="inlineStr">
        <is>
          <t>email · non-purchaser survey · 3</t>
        </is>
      </c>
      <c r="B86" s="8" t="inlineStr">
        <is>
          <t>As a thank you for taking part in the survey and helping us improve the collector experience, you'll be entered into a draw to win a €500 Avant Arte gift card.</t>
        </is>
      </c>
      <c r="C86" s="10">
        <f>B86</f>
        <v/>
      </c>
    </row>
    <row r="87" ht="16" customHeight="1">
      <c r="A87" s="4" t="inlineStr">
        <is>
          <t>email · non-purchaser survey · terms</t>
        </is>
      </c>
      <c r="B87" s="8" t="inlineStr">
        <is>
          <t>You can read the terms here.</t>
        </is>
      </c>
      <c r="C87" s="10">
        <f>B87</f>
        <v/>
      </c>
    </row>
    <row r="88" ht="16" customHeight="1">
      <c r="A88" s="4" t="inlineStr">
        <is>
          <t>email · non-purchaser survey · footer</t>
        </is>
      </c>
      <c r="B88" s="8" t="inlineStr">
        <is>
          <t>What can we do better?</t>
        </is>
      </c>
      <c r="C88" s="10">
        <f>B88</f>
        <v/>
      </c>
    </row>
    <row r="89">
      <c r="A89" s="3" t="inlineStr">
        <is>
          <t>EMAILS · monthly preview</t>
        </is>
      </c>
    </row>
    <row r="90" ht="16" customHeight="1">
      <c r="A90" s="4" t="inlineStr">
        <is>
          <t>email · monthly preview · opener</t>
        </is>
      </c>
      <c r="B90" s="8" t="inlineStr">
        <is>
          <t>From {collab_with} comes {work_intro}{support}.</t>
        </is>
      </c>
      <c r="C90" s="10">
        <f>SUBSTITUTE(SUBSTITUTE(SUBSTITUTE(B90,"{collab_with}",Inputs!$B$5),"{work_intro}",Inputs!$B$54),"{support}",Inputs!$B$55)</f>
        <v/>
      </c>
    </row>
    <row r="91" ht="32" customHeight="1">
      <c r="A91" s="4" t="inlineStr">
        <is>
          <t>email · monthly preview · when, draw</t>
        </is>
      </c>
      <c r="B91" s="8" t="inlineStr">
        <is>
          <t>The edition will be allocated by a randomised draw, which closes at {close_time} on {close_date}.</t>
        </is>
      </c>
      <c r="C91" s="10">
        <f>SUBSTITUTE(SUBSTITUTE(B91,"{close_date}",Inputs!$B$70),"{close_time}",Inputs!$B$71)</f>
        <v/>
      </c>
    </row>
    <row r="92" ht="32" customHeight="1">
      <c r="A92" s="4" t="inlineStr">
        <is>
          <t>email · monthly preview · when, timed</t>
        </is>
      </c>
      <c r="B92" s="8" t="inlineStr">
        <is>
          <t>The edition will be available to collect for {window} only, from {launch_time} on {launch_weekday}, {launch_date_dd}.</t>
        </is>
      </c>
      <c r="C92" s="10">
        <f>SUBSTITUTE(SUBSTITUTE(SUBSTITUTE(SUBSTITUTE(B92,"{window}",Inputs!$B$19),"{launch_time}",Inputs!$B$67),"{launch_weekday}",Inputs!$B$68),"{launch_date_dd}",Inputs!$B$69)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Inputs!$B$58</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IF(Inputs!$B$14&lt;&gt;"",Lines!$C$7,Lines!$C$6)</f>
        <v/>
      </c>
      <c r="F5" s="11">
        <f>Inputs!$B$36</f>
        <v/>
      </c>
      <c r="G5" s="11">
        <f>Lines!$C$15&amp;IF(Inputs!$B$59,"",IF(Inputs!$B$57="","","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Inputs!$B$65</f>
        <v/>
      </c>
      <c r="G6" s="11">
        <f>Lines!$C$15&amp;IF(Inputs!$B$57="","","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IF(Inputs!$B$43="","(no quote given, post skipped)",Lines!$C$9)</f>
        <v/>
      </c>
      <c r="F7" s="11">
        <f>IF(Inputs!$B$43="","",Lines!$C$10)</f>
        <v/>
      </c>
      <c r="G7" s="11">
        <f>IF(Inputs!$B$43="","",Lines!$C$15&amp;IF(Inputs!$B$57="",""," "&amp;Lines!$C$16))</f>
        <v/>
      </c>
      <c r="H7" s="11">
        <f>IF(Inputs!$B$43="","",IF(Inputs!$B$18="draw",Lines!$C$18,Lines!$C$17))</f>
        <v/>
      </c>
      <c r="I7" s="11">
        <f>""</f>
        <v/>
      </c>
      <c r="J7" s="11">
        <f>IF(Inputs!$B$43="","(no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IF(Inputs!$B$18="draw","",Lines!$C$15&amp;IF(Inputs!$B$57="","","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IF(Inputs!$B$18="draw","",Lines!$C$15&amp;IF(Inputs!$B$57="","","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Lines!$C$15&amp;IF(Inputs!$B$57="","","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 The announcement runs over X's limit until the tool cuts its hook.</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with the beneficiary · hook · action</t>
        </is>
      </c>
      <c r="D5" s="11">
        <f>IF(Inputs!$B$14&lt;&gt;"",Lines!$C$27,Lines!$C$26)</f>
        <v/>
      </c>
      <c r="E5" s="11">
        <f>Inputs!$B$36</f>
        <v/>
      </c>
      <c r="F5" s="11">
        <f>""</f>
        <v/>
      </c>
      <c r="G5" s="11">
        <f>IF(Inputs!$B$18="draw",Lines!$C$29,Lines!$C$28)</f>
        <v/>
      </c>
      <c r="H5" s="11">
        <f>D5&amp;IF(E5="","",CHAR(10)&amp;CHAR(10)&amp;E5)&amp;IF(G5="","",CHAR(10)&amp;CHAR(10)&amp;G5)</f>
        <v/>
      </c>
      <c r="I5" s="11">
        <f>LEN(H5)</f>
        <v/>
      </c>
    </row>
    <row r="6" ht="80" customHeight="1">
      <c r="A6" s="11" t="n">
        <v>3</v>
      </c>
      <c r="B6" s="11" t="inlineStr">
        <is>
          <t>live (timed only)</t>
        </is>
      </c>
      <c r="C6" s="11" t="inlineStr">
        <is>
          <t>status · action</t>
        </is>
      </c>
      <c r="D6" s="11">
        <f>IF(Inputs!$B$18="draw","(not used for a draw)",SUBSTITUTE(Lines!$C$11,Inputs!$B$46,Inputs!$B$47))</f>
        <v/>
      </c>
      <c r="E6" s="11">
        <f>""</f>
        <v/>
      </c>
      <c r="F6" s="11">
        <f>""</f>
        <v/>
      </c>
      <c r="G6" s="11">
        <f>IF(Inputs!$B$18="draw","",IF(Inputs!$B$18="draw",Lines!$C$29,Lines!$C$30))</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draw)",SUBSTITUTE(Lines!$C$12,Inputs!$B$46,Inputs!$B$47))</f>
        <v/>
      </c>
      <c r="E7" s="11">
        <f>""</f>
        <v/>
      </c>
      <c r="F7" s="11">
        <f>""</f>
        <v/>
      </c>
      <c r="G7" s="11">
        <f>IF(Inputs!$B$18="draw","",IF(Inputs!$B$18="draw",Lines!$C$29,Lines!$C$30))</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IF(Inputs!$B$18="draw",SUBSTITUTE(Lines!$C$14,Inputs!$B$46,Inputs!$B$47),SUBSTITUTE(Lines!$C$13,Inputs!$B$46,Inputs!$B$47))</f>
        <v/>
      </c>
      <c r="E8" s="11">
        <f>""</f>
        <v/>
      </c>
      <c r="F8" s="11">
        <f>""</f>
        <v/>
      </c>
      <c r="G8" s="11">
        <f>IF(Inputs!$B$18="draw",Lines!$C$29,Lines!$C$30)</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26" customWidth="1" min="13" max="13"/>
    <col width="96" customWidth="1" min="14" max="14"/>
    <col width="11" customWidth="1" min="15" max="15"/>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Footer</t>
        </is>
      </c>
      <c r="N3" s="3" t="inlineStr">
        <is>
          <t>Full email, ready to paste</t>
        </is>
      </c>
      <c r="O3" s="3" t="inlineStr">
        <is>
          <t>Characters</t>
        </is>
      </c>
    </row>
    <row r="4" ht="300" customHeight="1">
      <c r="A4" s="11" t="n">
        <v>1</v>
      </c>
      <c r="B4" s="11" t="inlineStr">
        <is>
          <t>Announcement (TL Non-flow) · Announcement (LE)</t>
        </is>
      </c>
      <c r="C4" s="11" t="inlineStr">
        <is>
          <t>both</t>
        </is>
      </c>
      <c r="D4" s="11">
        <f>"yes"</f>
        <v/>
      </c>
      <c r="E4" s="11">
        <f>IF($D4&lt;&gt;"yes","",Lines!$C$40)</f>
        <v/>
      </c>
      <c r="F4" s="11">
        <f>IF($D4&lt;&gt;"yes","",IF(Inputs!$B$18="draw","Enter the draw for a chance to collect. Closes "&amp;Inputs!$B$70&amp;".","Launching "&amp;Inputs!$B$66&amp;". Register for updates."))</f>
        <v/>
      </c>
      <c r="G4" s="11">
        <f>IF($D4&lt;&gt;"yes","",IF(Inputs!$B$18="draw","Enter the draw","Launching "&amp;Inputs!$B$66))</f>
        <v/>
      </c>
      <c r="H4" s="11">
        <f>IF($D4&lt;&gt;"yes","",IF(Inputs!$B$18="draw",Inputs!$B$53,Inputs!$B$53&amp;" by "&amp;Inputs!$B$4))</f>
        <v/>
      </c>
      <c r="I4" s="11">
        <f>IF($D4&lt;&gt;"yes","",(IF(Inputs!$B$38="",Lines!$C$41,Inputs!$B$38)&amp;IF(Inputs!$B$36="","",CHAR(10)&amp;CHAR(10)&amp;Inputs!$B$36)&amp;IF(Inputs!$B$64="","",CHAR(10)&amp;CHAR(10)&amp;Inputs!$B$64)&amp;IF(IF(OR(Inputs!$B$38="",Inputs!$B$60),Inputs!$B$62,Inputs!$B$63)="","",CHAR(10)&amp;CHAR(10)&amp;IF(OR(Inputs!$B$38="",Inputs!$B$60),Inputs!$B$62,Inputs!$B$63))&amp;IF(IF(Inputs!$B$18="draw",Lines!$C$34,(Lines!$C$42&amp;IF(Lines!$C$43="","",CHAR(10)&amp;CHAR(10)&amp;Lines!$C$43)))="","",CHAR(10)&amp;CHAR(10)&amp;IF(Inputs!$B$18="draw",Lines!$C$34,(Lines!$C$42&amp;IF(Lines!$C$43="","",CHAR(10)&amp;CHAR(10)&amp;Lines!$C$43))))))</f>
        <v/>
      </c>
      <c r="J4" s="11">
        <f>IF($D4&lt;&gt;"yes","",IF(Inputs!$B$18="draw","Enter the draw","Discover the collaboration"))</f>
        <v/>
      </c>
      <c r="K4" s="11">
        <f>IF($D4&lt;&gt;"yes","",Inputs!$B$77)</f>
        <v/>
      </c>
      <c r="L4" s="11">
        <f>IF($D4&lt;&gt;"yes","",Inputs!$B$78)</f>
        <v/>
      </c>
      <c r="M4" s="11">
        <f>IF($D4&lt;&gt;"yes","",IF(Inputs!$B$18="draw","Collect "&amp;Inputs!$B$74,"Launching "&amp;Inputs!$B$66))</f>
        <v/>
      </c>
      <c r="N4" s="11">
        <f>IF(D4&lt;&gt;"yes",D4,IF(E4="","","Subject: "&amp;E4)&amp;IF(F4="","",CHAR(10)&amp;"Preview: "&amp;F4)&amp;IF(G4="","",CHAR(10)&amp;"Kicker: "&amp;G4)&amp;IF(H4="","",CHAR(10)&amp;"Headline: "&amp;H4)&amp;IF(I4="","",IF(E4&amp;F4&amp;G4&amp;H4="","",CHAR(10)&amp;CHAR(10))&amp;I4)&amp;IF(J4="","",CHAR(10)&amp;CHAR(10)&amp;"CTA: "&amp;J4)&amp;IF(K4="","",CHAR(10)&amp;CHAR(10)&amp;"Card: "&amp;K4)&amp;IF(L4="","",CHAR(10)&amp;CHAR(10)&amp;"Quote: "&amp;L4)&amp;IF(M4="","",CHAR(10)&amp;CHAR(10)&amp;"Footer: "&amp;M4))</f>
        <v/>
      </c>
      <c r="O4" s="11">
        <f>LEN(N4)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IF($D5&lt;&gt;"yes","",(Lines!$C$45&amp;IF(Lines!$C$46="","",CHAR(10)&amp;CHAR(10)&amp;Lines!$C$46)&amp;IF(Lines!$C$47="","",CHAR(10)&amp;CHAR(10)&amp;Lines!$C$47)&amp;IF(Lines!$C$48="","",CHAR(10)&amp;CHAR(10)&amp;Lines!$C$48)))</f>
        <v/>
      </c>
      <c r="J5" s="11">
        <f>IF($D5&lt;&gt;"yes","","Complete collector profile")</f>
        <v/>
      </c>
      <c r="K5" s="11">
        <f>""</f>
        <v/>
      </c>
      <c r="L5" s="11">
        <f>""</f>
        <v/>
      </c>
      <c r="M5" s="11">
        <f>IF($D5&lt;&gt;"yes","","Where the art world is more accessible")</f>
        <v/>
      </c>
      <c r="N5" s="11">
        <f>IF(D5&lt;&gt;"yes",D5,IF(E5="","","Subject: "&amp;E5)&amp;IF(F5="","",CHAR(10)&amp;"Preview: "&amp;F5)&amp;IF(G5="","",CHAR(10)&amp;"Kicker: "&amp;G5)&amp;IF(H5="","",CHAR(10)&amp;"Headline: "&amp;H5)&amp;IF(I5="","",IF(E5&amp;F5&amp;G5&amp;H5="","",CHAR(10)&amp;CHAR(10))&amp;I5)&amp;IF(J5="","",CHAR(10)&amp;CHAR(10)&amp;"CTA: "&amp;J5)&amp;IF(K5="","",CHAR(10)&amp;CHAR(10)&amp;"Card: "&amp;K5)&amp;IF(L5="","",CHAR(10)&amp;CHAR(10)&amp;"Quote: "&amp;L5)&amp;IF(M5="","",CHAR(10)&amp;CHAR(10)&amp;"Footer: "&amp;M5))</f>
        <v/>
      </c>
      <c r="O5" s="11">
        <f>LEN(N5)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$32&amp;IF(Lines!$C$50="","",CHAR(10)&amp;CHAR(10)&amp;Lines!$C$50)&amp;IF(Inputs!$B$36="","",CHAR(10)&amp;CHAR(10)&amp;Inputs!$B$36)&amp;IF(Inputs!$B$63="","",CHAR(10)&amp;CHAR(10)&amp;Inputs!$B$63)&amp;IF(Lines!$C$51="","",CHAR(10)&amp;CHAR(10)&amp;Lines!$C$51)&amp;IF(IF(Inputs!$B$26="","",Lines!$C$37)="","",CHAR(10)&amp;CHAR(10)&amp;IF(Inputs!$B$26="","",Lines!$C$37))&amp;IF(Lines!$C$53="","",CHAR(10)&amp;CHAR(10)&amp;Lines!$C$53)))</f>
        <v/>
      </c>
      <c r="J6" s="11">
        <f>IF($D6&lt;&gt;"yes","","Unlock early access")</f>
        <v/>
      </c>
      <c r="K6" s="11">
        <f>""</f>
        <v/>
      </c>
      <c r="L6" s="11">
        <f>""</f>
        <v/>
      </c>
      <c r="M6" s="11">
        <f>IF($D6&lt;&gt;"yes","","24 hours ahead of the public launch")</f>
        <v/>
      </c>
      <c r="N6" s="11">
        <f>IF(D6&lt;&gt;"yes",D6,IF(E6="","","Subject: "&amp;E6)&amp;IF(F6="","",CHAR(10)&amp;"Preview: "&amp;F6)&amp;IF(G6="","",CHAR(10)&amp;"Kicker: "&amp;G6)&amp;IF(H6="","",CHAR(10)&amp;"Headline: "&amp;H6)&amp;IF(I6="","",IF(E6&amp;F6&amp;G6&amp;H6="","",CHAR(10)&amp;CHAR(10))&amp;I6)&amp;IF(J6="","",CHAR(10)&amp;CHAR(10)&amp;"CTA: "&amp;J6)&amp;IF(K6="","",CHAR(10)&amp;CHAR(10)&amp;"Card: "&amp;K6)&amp;IF(L6="","",CHAR(10)&amp;CHAR(10)&amp;"Quote: "&amp;L6)&amp;IF(M6="","",CHAR(10)&amp;CHAR(10)&amp;"Footer: "&amp;M6))</f>
        <v/>
      </c>
      <c r="O6" s="11">
        <f>LEN(N6)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$32&amp;IF(Lines!$C$50="","",CHAR(10)&amp;CHAR(10)&amp;Lines!$C$50)&amp;IF(Inputs!$B$36="","",CHAR(10)&amp;CHAR(10)&amp;Inputs!$B$36)&amp;IF(Inputs!$B$63="","",CHAR(10)&amp;CHAR(10)&amp;Inputs!$B$63)&amp;IF(Lines!$C$52="","",CHAR(10)&amp;CHAR(10)&amp;Lines!$C$52)&amp;IF(Lines!$C$53="","",CHAR(10)&amp;CHAR(10)&amp;Lines!$C$53)&amp;IF(Lines!$C$35="","",CHAR(10)&amp;CHAR(10)&amp;Lines!$C$35)&amp;IF(Lines!$C$33="","",CHAR(10)&amp;CHAR(10)&amp;Lines!$C$33)))</f>
        <v/>
      </c>
      <c r="J7" s="11">
        <f>IF($D7&lt;&gt;"yes","","Unlock early access")</f>
        <v/>
      </c>
      <c r="K7" s="11">
        <f>IF($D7&lt;&gt;"yes","",Inputs!$B$77)</f>
        <v/>
      </c>
      <c r="L7" s="11">
        <f>""</f>
        <v/>
      </c>
      <c r="M7" s="11">
        <f>IF($D7&lt;&gt;"yes","","24 hours ahead of the public launch")</f>
        <v/>
      </c>
      <c r="N7" s="11">
        <f>IF(D7&lt;&gt;"yes",D7,IF(E7="","","Subject: "&amp;E7)&amp;IF(F7="","",CHAR(10)&amp;"Preview: "&amp;F7)&amp;IF(G7="","",CHAR(10)&amp;"Kicker: "&amp;G7)&amp;IF(H7="","",CHAR(10)&amp;"Headline: "&amp;H7)&amp;IF(I7="","",IF(E7&amp;F7&amp;G7&amp;H7="","",CHAR(10)&amp;CHAR(10))&amp;I7)&amp;IF(J7="","",CHAR(10)&amp;CHAR(10)&amp;"CTA: "&amp;J7)&amp;IF(K7="","",CHAR(10)&amp;CHAR(10)&amp;"Card: "&amp;K7)&amp;IF(L7="","",CHAR(10)&amp;CHAR(10)&amp;"Quote: "&amp;L7)&amp;IF(M7="","",CHAR(10)&amp;CHAR(10)&amp;"Footer: "&amp;M7))</f>
        <v/>
      </c>
      <c r="O7" s="11">
        <f>LEN(N7)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$32&amp;IF(Lines!$C$57="","",CHAR(10)&amp;CHAR(10)&amp;Lines!$C$57)&amp;IF(Inputs!$B$36="","",CHAR(10)&amp;CHAR(10)&amp;Inputs!$B$36)&amp;IF(IF(Inputs!$B$18="draw",Lines!$C$58,Lines!$C$59)="","",CHAR(10)&amp;CHAR(10)&amp;IF(Inputs!$B$18="draw",Lines!$C$58,Lines!$C$59))&amp;IF(IF(Inputs!$B$18="draw",Lines!$C$60,Lines!$C$61)="","",CHAR(10)&amp;CHAR(10)&amp;IF(Inputs!$B$18="draw",Lines!$C$60,Lines!$C$61))&amp;IF(Lines!$C$33="","",CHAR(10)&amp;CHAR(10)&amp;Lines!$C$33)&amp;IF(Lines!$C$62="","",CHAR(10)&amp;CHAR(10)&amp;Lines!$C$62)))</f>
        <v/>
      </c>
      <c r="J8" s="11">
        <f>IF($D8&lt;&gt;"yes","","Unlock early access")</f>
        <v/>
      </c>
      <c r="K8" s="11">
        <f>IF($D8&lt;&gt;"yes","",Inputs!$B$77)</f>
        <v/>
      </c>
      <c r="L8" s="11">
        <f>""</f>
        <v/>
      </c>
      <c r="M8" s="11">
        <f>IF($D8&lt;&gt;"yes","",IF(Inputs!$B$18="draw","Especially for you.","24 hours ahead of the public launch"))</f>
        <v/>
      </c>
      <c r="N8" s="11">
        <f>IF(D8&lt;&gt;"yes",D8,IF(E8="","","Subject: "&amp;E8)&amp;IF(F8="","",CHAR(10)&amp;"Preview: "&amp;F8)&amp;IF(G8="","",CHAR(10)&amp;"Kicker: "&amp;G8)&amp;IF(H8="","",CHAR(10)&amp;"Headline: "&amp;H8)&amp;IF(I8="","",IF(E8&amp;F8&amp;G8&amp;H8="","",CHAR(10)&amp;CHAR(10))&amp;I8)&amp;IF(J8="","",CHAR(10)&amp;CHAR(10)&amp;"CTA: "&amp;J8)&amp;IF(K8="","",CHAR(10)&amp;CHAR(10)&amp;"Card: "&amp;K8)&amp;IF(L8="","",CHAR(10)&amp;CHAR(10)&amp;"Quote: "&amp;L8)&amp;IF(M8="","",CHAR(10)&amp;CHAR(10)&amp;"Footer: "&amp;M8))</f>
        <v/>
      </c>
      <c r="O8" s="11">
        <f>LEN(N8)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$32&amp;IF(Lines!$C$54="","",CHAR(10)&amp;CHAR(10)&amp;Lines!$C$54)&amp;IF(Inputs!$B$36="","",CHAR(10)&amp;CHAR(10)&amp;Inputs!$B$36)&amp;IF(Lines!$C$55="","",CHAR(10)&amp;CHAR(10)&amp;Lines!$C$55)&amp;IF(Lines!$C$56="","",CHAR(10)&amp;CHAR(10)&amp;Lines!$C$56)&amp;IF(Lines!$C$35="","",CHAR(10)&amp;CHAR(10)&amp;Lines!$C$35)&amp;IF(Lines!$C$33="","",CHAR(10)&amp;CHAR(10)&amp;Lines!$C$33)))</f>
        <v/>
      </c>
      <c r="J9" s="11">
        <f>IF($D9&lt;&gt;"yes","","Unlock early access")</f>
        <v/>
      </c>
      <c r="K9" s="11">
        <f>IF($D9&lt;&gt;"yes","",Inputs!$B$77)</f>
        <v/>
      </c>
      <c r="L9" s="11">
        <f>""</f>
        <v/>
      </c>
      <c r="M9" s="11">
        <f>IF($D9&lt;&gt;"yes","","Especially for you.")</f>
        <v/>
      </c>
      <c r="N9" s="11">
        <f>IF(D9&lt;&gt;"yes",D9,IF(E9="","","Subject: "&amp;E9)&amp;IF(F9="","",CHAR(10)&amp;"Preview: "&amp;F9)&amp;IF(G9="","",CHAR(10)&amp;"Kicker: "&amp;G9)&amp;IF(H9="","",CHAR(10)&amp;"Headline: "&amp;H9)&amp;IF(I9="","",IF(E9&amp;F9&amp;G9&amp;H9="","",CHAR(10)&amp;CHAR(10))&amp;I9)&amp;IF(J9="","",CHAR(10)&amp;CHAR(10)&amp;"CTA: "&amp;J9)&amp;IF(K9="","",CHAR(10)&amp;CHAR(10)&amp;"Card: "&amp;K9)&amp;IF(L9="","",CHAR(10)&amp;CHAR(10)&amp;"Quote: "&amp;L9)&amp;IF(M9="","",CHAR(10)&amp;CHAR(10)&amp;"Footer: "&amp;M9))</f>
        <v/>
      </c>
      <c r="O9" s="11">
        <f>LEN(N9)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IF($D10&lt;&gt;"yes","",Inputs!$B$76&amp;", starting now.")</f>
        <v/>
      </c>
      <c r="G10" s="11">
        <f>IF($D10&lt;&gt;"yes","",Lines!$C$36)</f>
        <v/>
      </c>
      <c r="H10" s="11">
        <f>IF($D10&lt;&gt;"yes","",Inputs!$B$76&amp;", starting now")</f>
        <v/>
      </c>
      <c r="I10" s="11">
        <f>IF($D10&lt;&gt;"yes","",(Lines!$C$64&amp;IF(Inputs!$B$36="","",CHAR(10)&amp;CHAR(10)&amp;Inputs!$B$36)&amp;IF(Inputs!$B$64="","",CHAR(10)&amp;CHAR(10)&amp;Inputs!$B$64)&amp;IF(Inputs!$B$63="","",CHAR(10)&amp;CHAR(10)&amp;Inputs!$B$63)&amp;IF(Lines!$C$65="","",CHAR(10)&amp;CHAR(10)&amp;Lines!$C$65)&amp;IF(IF(Inputs!$B$26="","",Lines!$C$37)="","",CHAR(10)&amp;CHAR(10)&amp;IF(Inputs!$B$26="","",Lines!$C$37))))</f>
        <v/>
      </c>
      <c r="J10" s="11">
        <f>IF($D10&lt;&gt;"yes","","Buy now")</f>
        <v/>
      </c>
      <c r="K10" s="11">
        <f>IF($D10&lt;&gt;"yes","",Inputs!$B$77)</f>
        <v/>
      </c>
      <c r="L10" s="11">
        <f>IF($D10&lt;&gt;"yes","",Inputs!$B$78)</f>
        <v/>
      </c>
      <c r="M10" s="11">
        <f>IF($D10&lt;&gt;"yes","","Collect "&amp;Inputs!$B$74)</f>
        <v/>
      </c>
      <c r="N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"&amp;L10)&amp;IF(M10="","",CHAR(10)&amp;CHAR(10)&amp;"Footer: "&amp;M10))</f>
        <v/>
      </c>
      <c r="O10" s="11">
        <f>LEN(N10)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IF($D11&lt;&gt;"yes","",Lines!$C$36)</f>
        <v/>
      </c>
      <c r="H11" s="11">
        <f>IF($D11&lt;&gt;"yes","",Lines!$C$66)</f>
        <v/>
      </c>
      <c r="I11" s="11">
        <f>""</f>
        <v/>
      </c>
      <c r="J11" s="11">
        <f>IF($D11&lt;&gt;"yes","","Buy now")</f>
        <v/>
      </c>
      <c r="K11" s="11">
        <f>""</f>
        <v/>
      </c>
      <c r="L11" s="11">
        <f>""</f>
        <v/>
      </c>
      <c r="M11" s="11">
        <f>IF($D11&lt;&gt;"yes","",Lines!$C$67)</f>
        <v/>
      </c>
      <c r="N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"&amp;L11)&amp;IF(M11="","",CHAR(10)&amp;CHAR(10)&amp;"Footer: "&amp;M11))</f>
        <v/>
      </c>
      <c r="O11" s="11">
        <f>LEN(N11)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IF($D12&lt;&gt;"yes","",Lines!$C$36)</f>
        <v/>
      </c>
      <c r="H12" s="11">
        <f>IF($D12&lt;&gt;"yes","",Lines!$C$68)</f>
        <v/>
      </c>
      <c r="I12" s="11">
        <f>""</f>
        <v/>
      </c>
      <c r="J12" s="11">
        <f>IF($D12&lt;&gt;"yes","","Buy "&amp;Inputs!$B$49)</f>
        <v/>
      </c>
      <c r="K12" s="11">
        <f>""</f>
        <v/>
      </c>
      <c r="L12" s="11">
        <f>""</f>
        <v/>
      </c>
      <c r="M12" s="11">
        <f>IF($D12&lt;&gt;"yes","",Lines!$C$72)</f>
        <v/>
      </c>
      <c r="N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"&amp;L12)&amp;IF(M12="","",CHAR(10)&amp;CHAR(10)&amp;"Footer: "&amp;M12))</f>
        <v/>
      </c>
      <c r="O12" s="11">
        <f>LEN(N12)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IF($D13&lt;&gt;"yes","",Inputs!$B$53&amp;" by "&amp;Inputs!$B$4)</f>
        <v/>
      </c>
      <c r="H13" s="11">
        <f>IF($D13&lt;&gt;"yes","",Lines!$C$69)</f>
        <v/>
      </c>
      <c r="I13" s="11">
        <f>IF($D13&lt;&gt;"yes","",(Lines!$C$70&amp;IF(Inputs!$B$36="","",CHAR(10)&amp;CHAR(10)&amp;Inputs!$B$36)&amp;IF(Lines!$C$71="","",CHAR(10)&amp;CHAR(10)&amp;Lines!$C$71)&amp;IF(IF(Inputs!$B$26="","",Lines!$C$38)="","",CHAR(10)&amp;CHAR(10)&amp;IF(Inputs!$B$26="","",Lines!$C$38))))</f>
        <v/>
      </c>
      <c r="J13" s="11">
        <f>IF($D13&lt;&gt;"yes","","Buy "&amp;Inputs!$B$49)</f>
        <v/>
      </c>
      <c r="K13" s="11">
        <f>IF($D13&lt;&gt;"yes","",Inputs!$B$77)</f>
        <v/>
      </c>
      <c r="L13" s="11">
        <f>""</f>
        <v/>
      </c>
      <c r="M13" s="11">
        <f>IF($D13&lt;&gt;"yes","",Lines!$C$72)</f>
        <v/>
      </c>
      <c r="N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"&amp;L13)&amp;IF(M13="","",CHAR(10)&amp;CHAR(10)&amp;"Footer: "&amp;M13))</f>
        <v/>
      </c>
      <c r="O13" s="11">
        <f>LEN(N13)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"&amp;Inputs!$B$71&amp;" on "&amp;Inputs!$B$70&amp;".","Time is almost up."))</f>
        <v/>
      </c>
      <c r="G14" s="11">
        <f>IF($D14&lt;&gt;"yes","",Inputs!$B$4)</f>
        <v/>
      </c>
      <c r="H14" s="11">
        <f>IF($D14&lt;&gt;"yes","",IF(Inputs!$B$18="draw","Last chance to enter the draw","Last chance to collect"))</f>
        <v/>
      </c>
      <c r="I14" s="11">
        <f>IF($D14&lt;&gt;"yes","",IF(Inputs!$B$18="draw",(Lines!$C$76&amp;IF(Inputs!$B$36="","",CHAR(10)&amp;CHAR(10)&amp;Inputs!$B$36)&amp;IF(Lines!$C$77="","",CHAR(10)&amp;CHAR(10)&amp;Lines!$C$77)),(Lines!$C$74&amp;IF(Lines!$C$75="","",CHAR(10)&amp;CHAR(10)&amp;Lines!$C$75)&amp;IF(IF(Inputs!$B$26="","",Lines!$C$38)="","",CHAR(10)&amp;CHAR(10)&amp;IF(Inputs!$B$26="","",Lines!$C$38)))))</f>
        <v/>
      </c>
      <c r="J14" s="11">
        <f>IF($D14&lt;&gt;"yes","",IF(Inputs!$B$18="draw","Enter the draw","Buy now"))</f>
        <v/>
      </c>
      <c r="K14" s="11">
        <f>IF($D14&lt;&gt;"yes","",Inputs!$B$77)</f>
        <v/>
      </c>
      <c r="L14" s="11">
        <f>""</f>
        <v/>
      </c>
      <c r="M14" s="11">
        <f>IF($D14&lt;&gt;"yes","","Time is almost up")</f>
        <v/>
      </c>
      <c r="N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"&amp;L14)&amp;IF(M14="","",CHAR(10)&amp;CHAR(10)&amp;"Footer: "&amp;M14))</f>
        <v/>
      </c>
      <c r="O14" s="11">
        <f>LEN(N14)</f>
        <v/>
      </c>
    </row>
    <row r="15" ht="300" customHeight="1">
      <c r="A15" s="11" t="n">
        <v>12</v>
      </c>
      <c r="B15" s="11" t="inlineStr">
        <is>
          <t>First-time collector survey (LE)</t>
        </is>
      </c>
      <c r="C15" s="11" t="inlineStr">
        <is>
          <t>draw, after the draw closes</t>
        </is>
      </c>
      <c r="D15" s="11">
        <f>IF(Inputs!$B$18="draw","yes","(not used for a timed edition)")</f>
        <v/>
      </c>
      <c r="E15" s="11">
        <f>IF($D15&lt;&gt;"yes","",Lines!$C$79)</f>
        <v/>
      </c>
      <c r="F15" s="11">
        <f>""</f>
        <v/>
      </c>
      <c r="G15" s="11">
        <f>""</f>
        <v/>
      </c>
      <c r="H15" s="11">
        <f>""</f>
        <v/>
      </c>
      <c r="I15" s="11">
        <f>IF($D15&lt;&gt;"yes","",(Lines!$C$32&amp;IF(Lines!$C$80="","",CHAR(10)&amp;CHAR(10)&amp;Lines!$C$80)&amp;IF(Lines!$C$81="","",CHAR(10)&amp;CHAR(10)&amp;Lines!$C$81)&amp;IF(Lines!$C$82="","",CHAR(10)&amp;CHAR(10)&amp;Lines!$C$82)&amp;IF(Lines!$C$83="","",CHAR(10)&amp;CHAR(10)&amp;Lines!$C$83)))</f>
        <v/>
      </c>
      <c r="J15" s="11">
        <f>IF($D15&lt;&gt;"yes","","Complete survey")</f>
        <v/>
      </c>
      <c r="K15" s="11">
        <f>IF($D15&lt;&gt;"yes","",Inputs!$B$4)</f>
        <v/>
      </c>
      <c r="L15" s="11">
        <f>""</f>
        <v/>
      </c>
      <c r="M15" s="11">
        <f>""</f>
        <v/>
      </c>
      <c r="N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"&amp;L15)&amp;IF(M15="","",CHAR(10)&amp;CHAR(10)&amp;"Footer: "&amp;M15))</f>
        <v/>
      </c>
      <c r="O15" s="11">
        <f>LEN(N15)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IF($D16&lt;&gt;"yes","",(Lines!$C$84&amp;IF(Lines!$C$85="","",CHAR(10)&amp;CHAR(10)&amp;Lines!$C$85)&amp;IF(Lines!$C$86="","",CHAR(10)&amp;CHAR(10)&amp;Lines!$C$86)&amp;IF(Lines!$C$87="","",CHAR(10)&amp;CHAR(10)&amp;Lines!$C$87)))</f>
        <v/>
      </c>
      <c r="J16" s="11">
        <f>IF($D16&lt;&gt;"yes","","Complete survey")</f>
        <v/>
      </c>
      <c r="K16" s="11">
        <f>""</f>
        <v/>
      </c>
      <c r="L16" s="11">
        <f>""</f>
        <v/>
      </c>
      <c r="M16" s="11">
        <f>IF($D16&lt;&gt;"yes","",Lines!$C$88)</f>
        <v/>
      </c>
      <c r="N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"&amp;L16)&amp;IF(M16="","",CHAR(10)&amp;CHAR(10)&amp;"Footer: "&amp;M16))</f>
        <v/>
      </c>
      <c r="O16" s="11">
        <f>LEN(N16)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$90&amp;IF(Inputs!$B$36="","",CHAR(10)&amp;CHAR(10)&amp;Inputs!$B$36)&amp;IF(Inputs!$B$64="","",CHAR(10)&amp;CHAR(10)&amp;Inputs!$B$64)&amp;IF(IF(Inputs!$B$18="draw",Lines!$C$91,Lines!$C$92)="","",CHAR(10)&amp;CHAR(10)&amp;IF(Inputs!$B$18="draw",Lines!$C$91,Lines!$C$92))))</f>
        <v/>
      </c>
      <c r="J17" s="11">
        <f>""</f>
        <v/>
      </c>
      <c r="K17" s="11">
        <f>""</f>
        <v/>
      </c>
      <c r="L17" s="11">
        <f>""</f>
        <v/>
      </c>
      <c r="M17" s="11">
        <f>""</f>
        <v/>
      </c>
      <c r="N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"&amp;L17)&amp;IF(M17="","",CHAR(10)&amp;CHAR(10)&amp;"Footer: "&amp;M17))</f>
        <v/>
      </c>
      <c r="O17" s="11">
        <f>LEN(N17)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footer.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2026-09-16T17:51:20Z</dcterms:created>
  <dcterms:modified xsi:type="dcterms:W3CDTF">2026-09-16T17:51:20Z</dcterms:modified>
</cp:coreProperties>
</file>