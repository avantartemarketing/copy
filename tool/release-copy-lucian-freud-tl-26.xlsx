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6"/>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Lucian Freud</t>
        </is>
      </c>
      <c r="C4" s="2" t="inlineStr">
        <is>
          <t>full name: the works are 'by' this name</t>
        </is>
      </c>
    </row>
    <row r="5">
      <c r="A5" s="4" t="inlineStr">
        <is>
          <t>collab_with</t>
        </is>
      </c>
      <c r="B5" s="5" t="inlineStr">
        <is>
          <t>the Lucian Freud Estate</t>
        </is>
      </c>
      <c r="C5" s="2" t="inlineStr">
        <is>
          <t>the words after 'collaboration with': usually the name, or the estate</t>
        </is>
      </c>
    </row>
    <row r="6">
      <c r="A6" s="4" t="inlineStr">
        <is>
          <t>handle</t>
        </is>
      </c>
      <c r="B6" s="5" t="inlineStr"/>
      <c r="C6" s="2" t="inlineStr">
        <is>
          <t>Instagram handle, blank if none</t>
        </is>
      </c>
    </row>
    <row r="7">
      <c r="A7" s="4" t="inlineStr">
        <is>
          <t>x_handle</t>
        </is>
      </c>
      <c r="B7" s="5" t="inlineStr"/>
      <c r="C7" s="2" t="inlineStr">
        <is>
          <t>X (Twitter) handle, blank if none</t>
        </is>
      </c>
    </row>
    <row r="8">
      <c r="A8" s="4" t="inlineStr">
        <is>
          <t>link</t>
        </is>
      </c>
      <c r="B8" s="5" t="inlineStr">
        <is>
          <t>https://avantarte.co/lucianfreud-2026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Portraits, 1952–2002</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a quartet of new limited edition prints</t>
        </is>
      </c>
      <c r="C15" s="2" t="inlineStr">
        <is>
          <t>e.g. a new limited edition print; a quartet of new limited edition embroideries; a new limited edition print in four colourways</t>
        </is>
      </c>
    </row>
    <row r="16">
      <c r="A16" s="4" t="inlineStr">
        <is>
          <t>works</t>
        </is>
      </c>
      <c r="B16" s="5" t="n">
        <v>4</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46126.58333333334</v>
      </c>
      <c r="C20" s="2" t="inlineStr">
        <is>
          <t>date and time the window opens, or the draw opens (UK)</t>
        </is>
      </c>
    </row>
    <row r="21">
      <c r="A21" s="4" t="inlineStr">
        <is>
          <t>closes_at</t>
        </is>
      </c>
      <c r="B21" s="6" t="n">
        <v>46128.58333333334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Curtis</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Freud-0426-10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Individually numbered</t>
        </is>
      </c>
      <c r="C28" s="2" t="inlineStr">
        <is>
          <t>the standard three; clear a cell to drop it</t>
        </is>
      </c>
    </row>
    <row r="29">
      <c r="A29" s="4" t="inlineStr">
        <is>
          <t>feature_2</t>
        </is>
      </c>
      <c r="B29" s="5" t="inlineStr">
        <is>
          <t>Free worldwide shipping</t>
        </is>
      </c>
      <c r="C29" s="2" t="inlineStr"/>
    </row>
    <row r="30">
      <c r="A30" s="4" t="inlineStr">
        <is>
          <t>feature_3</t>
        </is>
      </c>
      <c r="B30" s="5" t="inlineStr">
        <is>
          <t>Created in collaboration with the Lucian Freud Estate and Bridgeman Images</t>
        </is>
      </c>
      <c r="C30" s="2" t="inlineStr"/>
    </row>
    <row r="31">
      <c r="A31" s="4" t="inlineStr">
        <is>
          <t>feature_4</t>
        </is>
      </c>
      <c r="B31" s="5" t="inlineStr">
        <is>
          <t>Available individually, as curated pairs or as a complete quartet</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Voice-neutral: no we or our, no artist name in the hook or making line.</t>
        </is>
      </c>
    </row>
    <row r="35" ht="48" customHeight="1">
      <c r="A35" s="4" t="inlineStr">
        <is>
          <t>bio</t>
        </is>
      </c>
      <c r="B35" s="8" t="inlineStr">
        <is>
          <t>Lucian Freud (1922–2011) built his reputation painting people exactly as he saw them. Working from life, often over months of sittings, he turned hours of looking into raw studies of flesh, time and psychological tension.</t>
        </is>
      </c>
      <c r="C35" s="9" t="inlineStr">
        <is>
          <t>2 to 3 sentences on the artist, third person, no handle. Coming Soon post only.</t>
        </is>
      </c>
    </row>
    <row r="36" ht="64" customHeight="1">
      <c r="A36" s="4" t="inlineStr">
        <is>
          <t>hook</t>
        </is>
      </c>
      <c r="B36" s="8" t="inlineStr">
        <is>
          <t>Portraits, 1952–2002 brings together four seminal works spanning five decades of Freud's uncompromising portrait practice, from early intimacy to late self-scrutiny. The quartet is Girl in Bed, 1953; Reflection with Two Children (Self-Portrait), 1965; Double Portrait, 1988–90; and Self-Portrait (Reflection), 2002.</t>
        </is>
      </c>
      <c r="C36" s="9" t="inlineStr">
        <is>
          <t>1 to 2 sentences about the work only. Reused in every post and email.</t>
        </is>
      </c>
    </row>
    <row r="37" ht="32" customHeight="1">
      <c r="A37" s="4" t="inlineStr">
        <is>
          <t>qualifier</t>
        </is>
      </c>
      <c r="B37" s="8" t="inlineStr">
        <is>
          <t>spanning five decades of the artist's career</t>
        </is>
      </c>
      <c r="C37" s="9" t="inlineStr">
        <is>
          <t>a few words after the edition phrase in the email opener, e.g. spanning five decades of the artist's career. Ten words at most, a phrase not a sentence, no we or our, no artist name, no beneficiary. Blank for none.</t>
        </is>
      </c>
    </row>
    <row r="38" ht="64" customHeight="1">
      <c r="A38" s="4" t="inlineStr">
        <is>
          <t>making</t>
        </is>
      </c>
      <c r="B38" s="8" t="inlineStr">
        <is>
          <t>Each print was created in close collaboration with the Lucian Freud Estate by printmakers at Make-Ready, on 310gsm Hahnemühle German Etching paper, to faithfully preserve the texture, tonal depth and psychological intensity of the original paintings.</t>
        </is>
      </c>
      <c r="C38" s="9" t="inlineStr">
        <is>
          <t>one sentence on how the edition was made; write 'printmakers at Make-Ready' and the sheet adds 'our'.</t>
        </is>
      </c>
    </row>
    <row r="39" ht="32" customHeight="1">
      <c r="A39" s="4" t="inlineStr">
        <is>
          <t>quote</t>
        </is>
      </c>
      <c r="B39" s="8" t="inlineStr">
        <is>
          <t>The difficulties of painting yourself are psychological, you've got to try to paint yourself as another person.</t>
        </is>
      </c>
      <c r="C39" s="9" t="inlineStr">
        <is>
          <t>verbatim, a complete sentence, or blank</t>
        </is>
      </c>
    </row>
    <row r="41">
      <c r="A41" s="7" t="inlineStr">
        <is>
          <t>Derived (formulas, do not edit)</t>
        </is>
      </c>
    </row>
    <row r="42">
      <c r="A42" s="4" t="inlineStr">
        <is>
          <t>named</t>
        </is>
      </c>
      <c r="B42" s="10">
        <f>$B$4&amp;IF($B$6="",""," (@"&amp;$B$6&amp;")")</f>
        <v/>
      </c>
    </row>
    <row r="43">
      <c r="A43" s="4" t="inlineStr">
        <is>
          <t>named_x</t>
        </is>
      </c>
      <c r="B43" s="10">
        <f>$B$4&amp;IF($B$7="",""," (@"&amp;$B$7&amp;")")</f>
        <v/>
      </c>
    </row>
    <row r="44">
      <c r="A44" s="4" t="inlineStr">
        <is>
          <t>collab_x</t>
        </is>
      </c>
      <c r="B44" s="10">
        <f>IF($B$5=$B$4,$B$43,$B$5)</f>
        <v/>
      </c>
    </row>
    <row r="45">
      <c r="A45" s="4" t="inlineStr">
        <is>
          <t>a_unit</t>
        </is>
      </c>
      <c r="B45" s="10">
        <f>IF(OR(LEFT($B$17,1)="a",LEFT($B$17,1)="e",LEFT($B$17,1)="i",LEFT($B$17,1)="o",LEFT($B$17,1)="u"),"an ","a ")&amp;$B$17</f>
        <v/>
      </c>
    </row>
    <row r="46">
      <c r="A46" s="4" t="inlineStr">
        <is>
          <t>work</t>
        </is>
      </c>
      <c r="B46" s="10">
        <f>IF($B$14="yes","the "&amp;$B$11&amp;" series",IF($B$12="","‘"&amp;$B$11&amp;"’",IF($B$13="","‘"&amp;$B$11&amp;"’ and ‘"&amp;$B$12&amp;"’","‘"&amp;$B$11&amp;"’, ‘"&amp;$B$12&amp;"’ and ‘"&amp;$B$13&amp;"’")))</f>
        <v/>
      </c>
    </row>
    <row r="47">
      <c r="A47" s="4" t="inlineStr">
        <is>
          <t>Work</t>
        </is>
      </c>
      <c r="B47" s="10">
        <f>UPPER(LEFT($B$46,1))&amp;MID($B$46,2,999)</f>
        <v/>
      </c>
    </row>
    <row r="48">
      <c r="A48" s="4" t="inlineStr">
        <is>
          <t>work_email</t>
        </is>
      </c>
      <c r="B48" s="10">
        <f>IF($B$14="yes","the "&amp;$B$11&amp;" series",IF($B$12="",$B$11,IF($B$13="",$B$11&amp;" and "&amp;$B$12,$B$11&amp;", "&amp;$B$12&amp;" and "&amp;$B$13)))</f>
        <v/>
      </c>
    </row>
    <row r="49">
      <c r="A49" s="4" t="inlineStr">
        <is>
          <t>Work_email</t>
        </is>
      </c>
      <c r="B49" s="10">
        <f>UPPER(LEFT($B$48,1))&amp;MID($B$48,2,999)</f>
        <v/>
      </c>
    </row>
    <row r="50">
      <c r="A50" s="4" t="inlineStr">
        <is>
          <t>work_intro</t>
        </is>
      </c>
      <c r="B50" s="10">
        <f>IF($B$16=1,$B$11&amp;", ","")&amp;$B$15&amp;IF($B$37="","",IF(LEFT($B$37,1)=",",""," ")&amp;$B$37)</f>
        <v/>
      </c>
    </row>
    <row r="51">
      <c r="A51" s="4" t="inlineStr">
        <is>
          <t>support</t>
        </is>
      </c>
      <c r="B51" s="10">
        <f>IF(OR($B$22="",$B$54),"",", released in support of "&amp;$B$22)</f>
        <v/>
      </c>
    </row>
    <row r="52">
      <c r="A52" s="4" t="inlineStr">
        <is>
          <t>beneficiary_tagged</t>
        </is>
      </c>
      <c r="B52" s="10">
        <f>IF($B$22="","",$B$22&amp;IF($B$23="",""," (@"&amp;$B$23&amp;")"))</f>
        <v/>
      </c>
    </row>
    <row r="53" ht="80" customHeight="1">
      <c r="A53" s="4" t="inlineStr">
        <is>
          <t>bio_tagged</t>
        </is>
      </c>
      <c r="B53" s="10">
        <f>IF($B$6="",$B$35,SUBSTITUTE($B$35,$B$4,$B$42,1))</f>
        <v/>
      </c>
    </row>
    <row r="54">
      <c r="A54" s="4" t="inlineStr">
        <is>
          <t>hook_names_beneficiary</t>
        </is>
      </c>
      <c r="B54" s="10">
        <f>IF($B$22="",FALSE,ISNUMBER(SEARCH($B$22,$B$36)))</f>
        <v/>
      </c>
    </row>
    <row r="55">
      <c r="A55" s="4" t="inlineStr">
        <is>
          <t>features</t>
        </is>
      </c>
      <c r="B55" s="10">
        <f>$B$28&amp;IF($B$29="","",". "&amp;$B$29)&amp;IF($B$30="","",". "&amp;$B$30)&amp;IF($B$31="","",". "&amp;$B$31)&amp;IF($B$32="","",". "&amp;$B$32)&amp;"."</f>
        <v/>
      </c>
    </row>
    <row r="56" ht="60" customHeight="1">
      <c r="A56" s="4" t="inlineStr">
        <is>
          <t>features_list</t>
        </is>
      </c>
      <c r="B56" s="10">
        <f>"· "&amp;$B$28&amp;IF($B$29="","",CHAR(10)&amp;"· "&amp;$B$29)&amp;IF($B$30="","",CHAR(10)&amp;"· "&amp;$B$30)&amp;IF($B$31="","",CHAR(10)&amp;"· "&amp;$B$31)&amp;IF($B$32="","",CHAR(10)&amp;"· "&amp;$B$32)</f>
        <v/>
      </c>
    </row>
    <row r="57" ht="70" customHeight="1">
      <c r="A57" s="4" t="inlineStr">
        <is>
          <t>features_list_support</t>
        </is>
      </c>
      <c r="B57" s="10">
        <f>$B$56&amp;IF(OR($B$22="",$B$54),"",CHAR(10)&amp;"· Released in support of "&amp;$B$22)</f>
        <v/>
      </c>
    </row>
    <row r="58">
      <c r="A58" s="4" t="inlineStr">
        <is>
          <t>making_ours</t>
        </is>
      </c>
      <c r="B58" s="10">
        <f>SUBSTITUTE($B$38,"printmakers at Make-Ready","our printmakers at Make-Ready")</f>
        <v/>
      </c>
    </row>
    <row r="59">
      <c r="A59" s="4" t="inlineStr">
        <is>
          <t>making_ours_tagged</t>
        </is>
      </c>
      <c r="B59" s="10">
        <f>SUBSTITUTE($B$38,"printmakers at Make-Ready","our printmakers at Make-Ready (@make__ready)")</f>
        <v/>
      </c>
    </row>
    <row r="60">
      <c r="A60" s="4" t="inlineStr">
        <is>
          <t>launch_date</t>
        </is>
      </c>
      <c r="B60" s="10">
        <f>TEXT($B$20,"d mmmm")</f>
        <v/>
      </c>
    </row>
    <row r="61">
      <c r="A61" s="4" t="inlineStr">
        <is>
          <t>launch_time</t>
        </is>
      </c>
      <c r="B61" s="10">
        <f>TEXT($B$20,"hh:mm")&amp;" UK time"</f>
        <v/>
      </c>
    </row>
    <row r="62">
      <c r="A62" s="4" t="inlineStr">
        <is>
          <t>launch_weekday</t>
        </is>
      </c>
      <c r="B62" s="10">
        <f>TEXT($B$20,"dddd")</f>
        <v/>
      </c>
    </row>
    <row r="63">
      <c r="A63" s="4" t="inlineStr">
        <is>
          <t>launch_date_dd</t>
        </is>
      </c>
      <c r="B63" s="10">
        <f>TEXT($B$20,"dd mmmm")</f>
        <v/>
      </c>
    </row>
    <row r="64">
      <c r="A64" s="4" t="inlineStr">
        <is>
          <t>close_date</t>
        </is>
      </c>
      <c r="B64" s="10">
        <f>TEXT($B$21,"d mmmm")</f>
        <v/>
      </c>
    </row>
    <row r="65">
      <c r="A65" s="4" t="inlineStr">
        <is>
          <t>close_time</t>
        </is>
      </c>
      <c r="B65" s="10">
        <f>TEXT($B$21,"hh:mm")&amp;" UK time"</f>
        <v/>
      </c>
    </row>
    <row r="66">
      <c r="A66" s="4" t="inlineStr">
        <is>
          <t>close_weekday</t>
        </is>
      </c>
      <c r="B66" s="10">
        <f>TEXT($B$21,"dddd")</f>
        <v/>
      </c>
    </row>
    <row r="67">
      <c r="A67" s="4" t="inlineStr">
        <is>
          <t>close_date_dd</t>
        </is>
      </c>
      <c r="B67" s="10">
        <f>TEXT($B$21,"dd mmmm")</f>
        <v/>
      </c>
    </row>
    <row r="68">
      <c r="A68" s="4" t="inlineStr">
        <is>
          <t>collect_phrase</t>
        </is>
      </c>
      <c r="B68" s="10">
        <f>SUBSTITUTE($B$15," new "," ",1)</f>
        <v/>
      </c>
    </row>
    <row r="69">
      <c r="A69" s="4" t="inlineStr">
        <is>
          <t>edition_phrase_cap</t>
        </is>
      </c>
      <c r="B69" s="10">
        <f>UPPER(LEFT($B$15,1))&amp;MID($B$15,2,999)</f>
        <v/>
      </c>
    </row>
    <row r="70">
      <c r="A70" s="4" t="inlineStr">
        <is>
          <t>window_cap</t>
        </is>
      </c>
      <c r="B70" s="10">
        <f>UPPER(LEFT($B$19,1))&amp;MID($B$19,2,999)</f>
        <v/>
      </c>
    </row>
    <row r="71">
      <c r="A71" s="4" t="inlineStr">
        <is>
          <t>card_line</t>
        </is>
      </c>
      <c r="B71" s="10">
        <f>IF($B$12="",$B$69,"A limited edition "&amp;$B$17)&amp;" by "&amp;$B$4&amp;"."</f>
        <v/>
      </c>
    </row>
    <row r="72">
      <c r="A72" s="4" t="inlineStr">
        <is>
          <t>card</t>
        </is>
      </c>
      <c r="B72" s="10">
        <f>IF($B$14="yes","Untitled",$B$11)&amp;CHAR(10)&amp;$B$71&amp;IF($B$12="","",CHAR(10)&amp;CHAR(10)&amp;"Card: "&amp;$B$12&amp;CHAR(10)&amp;$B$71)&amp;IF($B$13="","",CHAR(10)&amp;CHAR(10)&amp;"Card: "&amp;$B$13&amp;CHAR(10)&amp;$B$71)</f>
        <v/>
      </c>
    </row>
    <row r="73">
      <c r="A73" s="4" t="inlineStr">
        <is>
          <t>quote_line</t>
        </is>
      </c>
      <c r="B73" s="10">
        <f>IF($B$39="","","“"&amp;$B$39&amp;"” – "&amp;$B$4)</f>
        <v/>
      </c>
    </row>
    <row r="74">
      <c r="A74" s="4" t="inlineStr">
        <is>
          <t>each_artwork</t>
        </is>
      </c>
      <c r="B74" s="10">
        <f>IF($B$16&gt;1," for each artwork","")</f>
        <v/>
      </c>
    </row>
    <row r="75">
      <c r="A75" s="4" t="inlineStr">
        <is>
          <t>work_word</t>
        </is>
      </c>
      <c r="B75" s="10">
        <f>IF($B$16&gt;1,"works","work")</f>
        <v/>
      </c>
    </row>
    <row r="76">
      <c r="A76" s="4" t="inlineStr">
        <is>
          <t>add_what</t>
        </is>
      </c>
      <c r="B76" s="10">
        <f>IF($B$16&gt;1,$B$45,$B$48)</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SUBSTITUTE(SUBSTITUTE(SUBSTITUTE(B6,"{named}",Inputs!$B$42),"{work}",Inputs!$B$46),"{edition_phrase}",Inputs!$B$15)</f>
        <v/>
      </c>
    </row>
    <row r="7" ht="16" customHeight="1">
      <c r="A7" s="4" t="inlineStr">
        <is>
          <t>post · announce · status, series</t>
        </is>
      </c>
      <c r="B7" s="8" t="inlineStr">
        <is>
          <t>Announcing {edition_phrase} by {named}, from {work}.</t>
        </is>
      </c>
      <c r="C7" s="10">
        <f>SUBSTITUTE(SUBSTITUTE(SUBSTITUTE(B7,"{named}",Inputs!$B$42),"{work}",Inputs!$B$46),"{edition_phrase}",Inputs!$B$15)</f>
        <v/>
      </c>
    </row>
    <row r="8" ht="16" customHeight="1">
      <c r="A8" s="4" t="inlineStr">
        <is>
          <t>post · sustain · status</t>
        </is>
      </c>
      <c r="B8" s="8" t="inlineStr">
        <is>
          <t>A closer look at {work}, {edition_phrase} by {named}.</t>
        </is>
      </c>
      <c r="C8" s="10">
        <f>SUBSTITUTE(SUBSTITUTE(SUBSTITUTE(B8,"{named}",Inputs!$B$42),"{work}",Inputs!$B$46),"{edition_phrase}",Inputs!$B$15)</f>
        <v/>
      </c>
    </row>
    <row r="9" ht="16" customHeight="1">
      <c r="A9" s="4" t="inlineStr">
        <is>
          <t>post · artist's words · status</t>
        </is>
      </c>
      <c r="B9" s="8" t="inlineStr">
        <is>
          <t>“{quote}” – {artist}</t>
        </is>
      </c>
      <c r="C9" s="10">
        <f>SUBSTITUTE(SUBSTITUTE(B9,"{artist}",Inputs!$B$4),"{quote}",Inputs!$B$39)</f>
        <v/>
      </c>
    </row>
    <row r="10" ht="16" customHeight="1">
      <c r="A10" s="4" t="inlineStr">
        <is>
          <t>post · artist's words · second line</t>
        </is>
      </c>
      <c r="B10" s="8" t="inlineStr">
        <is>
          <t>{Work}, {edition_phrase} by {named}.</t>
        </is>
      </c>
      <c r="C10" s="10">
        <f>SUBSTITUTE(SUBSTITUTE(SUBSTITUTE(B10,"{named}",Inputs!$B$42),"{Work}",Inputs!$B$47),"{edition_phrase}",Inputs!$B$15)</f>
        <v/>
      </c>
    </row>
    <row r="11" ht="16" customHeight="1">
      <c r="A11" s="4" t="inlineStr">
        <is>
          <t>post · live · status</t>
        </is>
      </c>
      <c r="B11" s="8" t="inlineStr">
        <is>
          <t>{Work} by {named} is now available to collect, for {window} only.</t>
        </is>
      </c>
      <c r="C11" s="10">
        <f>SUBSTITUTE(SUBSTITUTE(SUBSTITUTE(B11,"{named}",Inputs!$B$42),"{Work}",Inputs!$B$47),"{window}",Inputs!$B$19)</f>
        <v/>
      </c>
    </row>
    <row r="12" ht="16" customHeight="1">
      <c r="A12" s="4" t="inlineStr">
        <is>
          <t>post · still time · status</t>
        </is>
      </c>
      <c r="B12" s="8" t="inlineStr">
        <is>
          <t>There's still time to collect {work} by {named}.</t>
        </is>
      </c>
      <c r="C12" s="10">
        <f>SUBSTITUTE(SUBSTITUTE(B12,"{named}",Inputs!$B$42),"{work}",Inputs!$B$46)</f>
        <v/>
      </c>
    </row>
    <row r="13" ht="16" customHeight="1">
      <c r="A13" s="4" t="inlineStr">
        <is>
          <t>post · last chance · status</t>
        </is>
      </c>
      <c r="B13" s="8" t="inlineStr">
        <is>
          <t>Last chance to collect {work} by {named}.</t>
        </is>
      </c>
      <c r="C13" s="10">
        <f>SUBSTITUTE(SUBSTITUTE(B13,"{named}",Inputs!$B$42),"{work}",Inputs!$B$46)</f>
        <v/>
      </c>
    </row>
    <row r="14" ht="16" customHeight="1">
      <c r="A14" s="4" t="inlineStr">
        <is>
          <t>post · last chance · status, draw</t>
        </is>
      </c>
      <c r="B14" s="8" t="inlineStr">
        <is>
          <t>Last chance to enter the draw for {work} by {named}.</t>
        </is>
      </c>
      <c r="C14" s="10">
        <f>SUBSTITUTE(SUBSTITUTE(B14,"{named}",Inputs!$B$42),"{work}",Inputs!$B$46)</f>
        <v/>
      </c>
    </row>
    <row r="15" ht="16" customHeight="1">
      <c r="A15" s="4" t="inlineStr">
        <is>
          <t>post · features line</t>
        </is>
      </c>
      <c r="B15" s="8" t="inlineStr">
        <is>
          <t>{features}</t>
        </is>
      </c>
      <c r="C15" s="10">
        <f>SUBSTITUTE(B15,"{features}",Inputs!$B$55)</f>
        <v/>
      </c>
    </row>
    <row r="16" ht="16" customHeight="1">
      <c r="A16" s="4" t="inlineStr">
        <is>
          <t>post · beneficiary line</t>
        </is>
      </c>
      <c r="B16" s="8" t="inlineStr">
        <is>
          <t>Released in support of {beneficiary_tagged}.</t>
        </is>
      </c>
      <c r="C16" s="10">
        <f>SUBSTITUTE(B16,"{beneficiary_tagged}",Inputs!$B$52)</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SUBSTITUTE(SUBSTITUTE(SUBSTITUTE(B17,"{window}",Inputs!$B$19),"{launch_date}",Inputs!$B$60),"{launch_time}",Inputs!$B$61)</f>
        <v/>
      </c>
    </row>
    <row r="18" ht="32" customHeight="1">
      <c r="A18" s="4" t="inlineStr">
        <is>
          <t>post · action before launch, draw</t>
        </is>
      </c>
      <c r="B18" s="8" t="inlineStr">
        <is>
          <t>Enter the draw via our link in bio. Closes {close_date} at {close_time}.</t>
        </is>
      </c>
      <c r="C18" s="10">
        <f>SUBSTITUTE(SUBSTITUTE(B18,"{close_date}",Inputs!$B$64),"{close_time}",Inputs!$B$65)</f>
        <v/>
      </c>
    </row>
    <row r="19" ht="16" customHeight="1">
      <c r="A19" s="4" t="inlineStr">
        <is>
          <t>post · action while open, timed</t>
        </is>
      </c>
      <c r="B19" s="8" t="inlineStr">
        <is>
          <t>Link in bio to buy {a_unit}. Closes {close_date} at {close_time}.</t>
        </is>
      </c>
      <c r="C19" s="10">
        <f>SUBSTITUTE(SUBSTITUTE(SUBSTITUTE(B19,"{a_unit}",Inputs!$B$45),"{close_date}",Inputs!$B$64),"{close_time}",Inputs!$B$65)</f>
        <v/>
      </c>
    </row>
    <row r="20" ht="32" customHeight="1">
      <c r="A20" s="4" t="inlineStr">
        <is>
          <t>post · action while open, draw</t>
        </is>
      </c>
      <c r="B20" s="8" t="inlineStr">
        <is>
          <t>Enter the draw via our link in bio. Closes {close_date} at {close_time}.</t>
        </is>
      </c>
      <c r="C20" s="10">
        <f>SUBSTITUTE(SUBSTITUTE(B20,"{close_date}",Inputs!$B$64),"{close_time}",Inputs!$B$65)</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SUBSTITUTE(SUBSTITUTE(B24,"{collab_x}",Inputs!$B$44),"{ordinal}",Inputs!$B$10)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SUBSTITUTE(SUBSTITUTE(SUBSTITUTE(SUBSTITUTE(B27,"{link}",Inputs!$B$8),"{window}",Inputs!$B$19),"{launch_date}",Inputs!$B$60),"{launch_time}",Inputs!$B$61)</f>
        <v/>
      </c>
    </row>
    <row r="28" ht="16" customHeight="1">
      <c r="A28" s="4" t="inlineStr">
        <is>
          <t>tweet · action, draw</t>
        </is>
      </c>
      <c r="B28" s="8" t="inlineStr">
        <is>
          <t>Closes {close_date} at {close_time}. Enter the draw: {link}</t>
        </is>
      </c>
      <c r="C28" s="10">
        <f>SUBSTITUTE(SUBSTITUTE(SUBSTITUTE(B28,"{link}",Inputs!$B$8),"{close_date}",Inputs!$B$64),"{close_time}",Inputs!$B$65)</f>
        <v/>
      </c>
    </row>
    <row r="29" ht="16" customHeight="1">
      <c r="A29" s="4" t="inlineStr">
        <is>
          <t>tweet · action while open, timed</t>
        </is>
      </c>
      <c r="B29" s="8" t="inlineStr">
        <is>
          <t>Closes {close_date} at {close_time}. Buy {a_unit}: {link}</t>
        </is>
      </c>
      <c r="C29" s="10">
        <f>SUBSTITUTE(SUBSTITUTE(SUBSTITUTE(SUBSTITUTE(B29,"{link}",Inputs!$B$8),"{a_unit}",Inputs!$B$45),"{close_date}",Inputs!$B$64),"{close_time}",Inputs!$B$65)</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SUBSTITUTE(SUBSTITUTE(B33,"{close_date}",Inputs!$B$64),"{close_time}",Inputs!$B$65)</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SUBSTITUTE(SUBSTITUTE(B35,"{artist}",Inputs!$B$4),"{a_unit}",Inputs!$B$45)</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SUBSTITUTE(SUBSTITUTE(B39,"{artist}",Inputs!$B$4),"{edition_phrase_cap}",Inputs!$B$69)</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SUBSTITUTE(SUBSTITUTE(SUBSTITUTE(SUBSTITUTE(B40,"{collab_with}",Inputs!$B$5),"{work_intro}",Inputs!$B$50),"{support}",Inputs!$B$51),"{ordinal}",Inputs!$B$10)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SUBSTITUTE(SUBSTITUTE(SUBSTITUTE(SUBSTITUTE(B41,"{window}",Inputs!$B$19),"{launch_time}",Inputs!$B$61),"{launch_weekday}",Inputs!$B$62),"{launch_date_dd}",Inputs!$B$63)</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SUBSTITUTE(SUBSTITUTE(SUBSTITUTE(SUBSTITUTE(B49,"{collab_with}",Inputs!$B$5),"{ordinal}",Inputs!$B$10),"{window}",Inputs!$B$19),"{launch_time}",Inputs!$B$61)</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SUBSTITUTE(SUBSTITUTE(SUBSTITUTE(SUBSTITUTE(B53,"{collab_with}",Inputs!$B$5),"{work_intro}",Inputs!$B$50),"{support}",Inputs!$B$51),"{ordinal}",Inputs!$B$10)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SUBSTITUTE(B54,"{launch_date}",Inputs!$B$60)</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SUBSTITUTE(SUBSTITUTE(SUBSTITUTE(SUBSTITUTE(B56,"{collab_with}",Inputs!$B$5),"{work_intro}",Inputs!$B$50),"{support}",Inputs!$B$51),"{ordinal}",Inputs!$B$10)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SUBSTITUTE(B57,"{launch_date}",Inputs!$B$60)</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SUBSTITUTE(SUBSTITUTE(B58,"{window}",Inputs!$B$19),"{launch_time}",Inputs!$B$61)</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SUBSTITUTE(SUBSTITUTE(SUBSTITUTE(SUBSTITUTE(SUBSTITUTE(B63,"{collab_with}",Inputs!$B$5),"{work_intro}",Inputs!$B$50),"{support}",Inputs!$B$51),"{ordinal}",Inputs!$B$10),"{window}",Inputs!$B$19)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SUBSTITUTE(SUBSTITUTE(SUBSTITUTE(SUBSTITUTE(B64,"{close_time}",Inputs!$B$65),"{close_weekday}",Inputs!$B$66),"{close_date_dd}",Inputs!$B$67),"{add_what}",Inputs!$B$76)</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SUBSTITUTE(B66,"{a_unit}",Inputs!$B$45)</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SUBSTITUTE(SUBSTITUTE(B69,"{artist}",Inputs!$B$4),"{collect_phrase}",Inputs!$B$68)</f>
        <v/>
      </c>
    </row>
    <row r="70" ht="32" customHeight="1">
      <c r="A70" s="4" t="inlineStr">
        <is>
          <t>email · 3 days · 2</t>
        </is>
      </c>
      <c r="B70" s="8" t="inlineStr">
        <is>
          <t>Click the link to collect before {close_time} on {close_weekday}, {close_date_dd}.</t>
        </is>
      </c>
      <c r="C70" s="10">
        <f>SUBSTITUTE(SUBSTITUTE(SUBSTITUTE(B70,"{close_time}",Inputs!$B$65),"{close_weekday}",Inputs!$B$66),"{close_date_dd}",Inputs!$B$67)</f>
        <v/>
      </c>
    </row>
    <row r="71" ht="16" customHeight="1">
      <c r="A71" s="4" t="inlineStr">
        <is>
          <t>email · days to go · footer</t>
        </is>
      </c>
      <c r="B71" s="8" t="inlineStr">
        <is>
          <t>Add {a_unit} to your collection</t>
        </is>
      </c>
      <c r="C71" s="10">
        <f>SUBSTITUTE(B71,"{a_unit}",Inputs!$B$45)</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SUBSTITUTE(SUBSTITUTE(SUBSTITUTE(SUBSTITUTE(SUBSTITUTE(SUBSTITUTE(B73,"{collab_with}",Inputs!$B$5),"{collect_phrase}",Inputs!$B$68),"{ordinal}",Inputs!$B$10),"{close_time}",Inputs!$B$65),"{close_weekday}",Inputs!$B$66),"{close_date_dd}",Inputs!$B$67)</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SUBSTITUTE(SUBSTITUTE(B74,"{each_artwork}",Inputs!$B$74),"{work_word}",Inputs!$B$75)</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SUBSTITUTE(SUBSTITUTE(SUBSTITUTE(B75,"{artist}",Inputs!$B$4),"{work_email}",Inputs!$B$48),"{collect_phrase}",Inputs!$B$68)</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SUBSTITUTE(SUBSTITUTE(SUBSTITUTE(B76,"{close_time}",Inputs!$B$65),"{close_weekday}",Inputs!$B$66),"{close_date_dd}",Inputs!$B$67)</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SUBSTITUTE(SUBSTITUTE(SUBSTITUTE(B89,"{collab_with}",Inputs!$B$5),"{work_intro}",Inputs!$B$50),"{support}",Inputs!$B$51)</f>
        <v/>
      </c>
    </row>
    <row r="90" ht="32" customHeight="1">
      <c r="A90" s="4" t="inlineStr">
        <is>
          <t>email · monthly preview · when, draw</t>
        </is>
      </c>
      <c r="B90" s="8" t="inlineStr">
        <is>
          <t>The edition will be allocated by a randomised draw, which closes at {close_time} on {close_date}.</t>
        </is>
      </c>
      <c r="C90" s="10">
        <f>SUBSTITUTE(SUBSTITUTE(B90,"{close_date}",Inputs!$B$64),"{close_time}",Inputs!$B$65)</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SUBSTITUTE(SUBSTITUTE(SUBSTITUTE(SUBSTITUTE(B91,"{window}",Inputs!$B$19),"{launch_time}",Inputs!$B$61),"{launch_weekday}",Inputs!$B$62),"{launch_date_dd}",Inputs!$B$63)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Inputs!$B$53</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Lines!$C$15&amp;IF(Inputs!$B$54,"",IF(Inputs!$B$52="","","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Inputs!$B$59</f>
        <v/>
      </c>
      <c r="G6" s="11">
        <f>Lines!$C$15&amp;IF(Inputs!$B$52="","","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IF(Inputs!$B$39="","(no quote given, post skipped)",Lines!$C$9)</f>
        <v/>
      </c>
      <c r="F7" s="11">
        <f>IF(Inputs!$B$39="","",Lines!$C$10)</f>
        <v/>
      </c>
      <c r="G7" s="11">
        <f>IF(Inputs!$B$39="","",Lines!$C$15&amp;IF(Inputs!$B$52="",""," "&amp;Lines!$C$16))</f>
        <v/>
      </c>
      <c r="H7" s="11">
        <f>IF(Inputs!$B$39="","",IF(Inputs!$B$18="draw",Lines!$C$18,Lines!$C$17))</f>
        <v/>
      </c>
      <c r="I7" s="11">
        <f>""</f>
        <v/>
      </c>
      <c r="J7" s="11">
        <f>IF(Inputs!$B$39="","(no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IF(Inputs!$B$18="draw","",Lines!$C$15&amp;IF(Inputs!$B$52="","","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IF(Inputs!$B$18="draw","",Lines!$C$15&amp;IF(Inputs!$B$52="","","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Lines!$C$15&amp;IF(Inputs!$B$52="","","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SUBSTITUTE(IF(Inputs!$B$14="yes",Lines!$C$7,Lines!$C$6),Inputs!$B$42,Inputs!$B$43)</f>
        <v/>
      </c>
      <c r="E5" s="11">
        <f>Inputs!$B$36</f>
        <v/>
      </c>
      <c r="F5" s="11">
        <f>IF(OR(Inputs!$B$22="",Inputs!$B$54),"",Lines!$C$26)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draw)",SUBSTITUTE(Lines!$C$11,Inputs!$B$42,Inputs!$B$43))</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draw)",SUBSTITUTE(Lines!$C$12,Inputs!$B$42,Inputs!$B$43))</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IF(Inputs!$B$18="draw",SUBSTITUTE(Lines!$C$14,Inputs!$B$42,Inputs!$B$43),SUBSTITUTE(Lines!$C$13,Inputs!$B$42,Inputs!$B$43))</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"&amp;Inputs!$B$64&amp;".","Launching "&amp;Inputs!$B$60&amp;". Register for updates."))</f>
        <v/>
      </c>
      <c r="G4" s="11">
        <f>IF($D4&lt;&gt;"yes","",IF(Inputs!$B$18="draw","Enter the draw","Launching "&amp;Inputs!$B$60))</f>
        <v/>
      </c>
      <c r="H4" s="11">
        <f>IF($D4&lt;&gt;"yes","",IF(Inputs!$B$18="draw",Inputs!$B$49,Inputs!$B$49&amp;" by "&amp;Inputs!$B$4))</f>
        <v/>
      </c>
      <c r="I4" s="11">
        <f>IF($D4&lt;&gt;"yes","",(Lines!$C$40&amp;IF(Inputs!$B$36="","",CHAR(10)&amp;CHAR(10)&amp;Inputs!$B$36)&amp;IF(Inputs!$B$58="","",CHAR(10)&amp;CHAR(10)&amp;Inputs!$B$58)&amp;IF(Inputs!$B$56="","",CHAR(10)&amp;CHAR(10)&amp;Inputs!$B$56)&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IF($D4&lt;&gt;"yes","",Inputs!$B$72)</f>
        <v/>
      </c>
      <c r="L4" s="11">
        <f>IF($D4&lt;&gt;"yes","",Inputs!$B$73)</f>
        <v/>
      </c>
      <c r="M4" s="11">
        <f>IF($D4&lt;&gt;"yes","",IF(Inputs!$B$18="draw","Collect "&amp;Inputs!$B$68,"Launching "&amp;Inputs!$B$60))</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$57="","",CHAR(10)&amp;CHAR(10)&amp;Inputs!$B$57)&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$57="","",CHAR(10)&amp;CHAR(10)&amp;Inputs!$B$57)&amp;IF(Lines!$C$51="","",CHAR(10)&amp;CHAR(10)&amp;Lines!$C$51)&amp;IF(Lines!$C$52="","",CHAR(10)&amp;CHAR(10)&amp;Lines!$C$52)&amp;IF(Lines!$C$34="","",CHAR(10)&amp;CHAR(10)&amp;Lines!$C$34)&amp;IF(Lines!$C$32="","",CHAR(10)&amp;CHAR(10)&amp;Lines!$C$32)))</f>
        <v/>
      </c>
      <c r="J7" s="11">
        <f>IF($D7&lt;&gt;"yes","","Unlock early access")</f>
        <v/>
      </c>
      <c r="K7" s="11">
        <f>IF($D7&lt;&gt;"yes","",Inputs!$B$72)</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IF($D8&lt;&gt;"yes","",Inputs!$B$72)</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IF($D9&lt;&gt;"yes","",Inputs!$B$72)</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IF($D10&lt;&gt;"yes","",Inputs!$B$70&amp;", starting now.")</f>
        <v/>
      </c>
      <c r="G10" s="11">
        <f>IF($D10&lt;&gt;"yes","",Lines!$C$35)</f>
        <v/>
      </c>
      <c r="H10" s="11">
        <f>IF($D10&lt;&gt;"yes","",Inputs!$B$70&amp;", starting now")</f>
        <v/>
      </c>
      <c r="I10" s="11">
        <f>IF($D10&lt;&gt;"yes","",(Lines!$C$63&amp;IF(Inputs!$B$36="","",CHAR(10)&amp;CHAR(10)&amp;Inputs!$B$36)&amp;IF(Inputs!$B$58="","",CHAR(10)&amp;CHAR(10)&amp;Inputs!$B$58)&amp;IF(Inputs!$B$57="","",CHAR(10)&amp;CHAR(10)&amp;Inputs!$B$57)&amp;IF(Lines!$C$64="","",CHAR(10)&amp;CHAR(10)&amp;Lines!$C$64)&amp;IF(IF(Inputs!$B$26="","",Lines!$C$36)="","",CHAR(10)&amp;CHAR(10)&amp;IF(Inputs!$B$26="","",Lines!$C$36))))</f>
        <v/>
      </c>
      <c r="J10" s="11">
        <f>IF($D10&lt;&gt;"yes","","Buy now")</f>
        <v/>
      </c>
      <c r="K10" s="11">
        <f>IF($D10&lt;&gt;"yes","",Inputs!$B$72)</f>
        <v/>
      </c>
      <c r="L10" s="11">
        <f>IF($D10&lt;&gt;"yes","",Inputs!$B$73)</f>
        <v/>
      </c>
      <c r="M10" s="11">
        <f>IF($D10&lt;&gt;"yes","","Collect "&amp;Inputs!$B$68)</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"&amp;Inputs!$B$45)</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IF($D13&lt;&gt;"yes","",Inputs!$B$49&amp;"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"&amp;Inputs!$B$45)</f>
        <v/>
      </c>
      <c r="K13" s="11">
        <f>IF($D13&lt;&gt;"yes","",Inputs!$B$72)</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"&amp;Inputs!$B$65&amp;" on "&amp;Inputs!$B$64&amp;".","Time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IF($D14&lt;&gt;"yes","",Inputs!$B$72)</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$58="","",CHAR(10)&amp;CHAR(10)&amp;Inputs!$B$58)&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Naming the work</t>
        </is>
      </c>
      <c r="B8"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9" ht="46" customHeight="1">
      <c r="A9" s="12" t="inlineStr">
        <is>
          <t>Fragments</t>
        </is>
      </c>
      <c r="B9" s="10" t="inlineStr">
        <is>
          <t>Four per release, written once: bio (2 to 3 sentences, Coming Soon only), hook (1 to 2 sentences about the work, in every post and email), making (one sentence on how it was made), quote (verbatim). The hook and bio must not repeat each other.</t>
        </is>
      </c>
    </row>
    <row r="10" ht="46" customHeight="1">
      <c r="A10" s="12" t="inlineStr">
        <is>
          <t>Voice</t>
        </is>
      </c>
      <c r="B10" s="10" t="inlineStr">
        <is>
          <t>Fragments are voice-neutral: no we or our, no artist name in the hook or the making line, and 'printmakers at Make-Ready' where it applies. The sheet adds 'our'. The Insiders email and the first-time survey are signed by the advisor named on Inputs. Features never say 'our'.</t>
        </is>
      </c>
    </row>
    <row r="11" ht="46" customHeight="1">
      <c r="A11" s="12" t="inlineStr">
        <is>
          <t>Who and what</t>
        </is>
      </c>
      <c r="B11" s="10" t="inlineStr">
        <is>
          <t>'by {artist}' is always the artist. 'collaboration with {collab_with}' is the artist's name, or the estate. 'unit' is what one is called (print, embroidery, sculpture), and the sheet writes 'a print' or 'an embroidery' wherever a line names one.</t>
        </is>
      </c>
    </row>
    <row r="12" ht="46" customHeight="1">
      <c r="A12" s="12" t="inlineStr">
        <is>
          <t>Features</t>
        </is>
      </c>
      <c r="B12" s="10" t="inlineStr">
        <is>
          <t>The standard three (signed by the artist, individually numbered, free worldwide shipping) plus anything bespoke: framed, a set offer, a partner credit. One line of short sentences in a post, a list in an email. The beneficiary follows, named once.</t>
        </is>
      </c>
    </row>
    <row r="13" ht="46" customHeight="1">
      <c r="A13" s="12" t="inlineStr">
        <is>
          <t>Beneficiary</t>
        </is>
      </c>
      <c r="B13" s="10" t="inlineStr">
        <is>
          <t>One phrase everywhere: 'released in support of'. It goes in the opener unless the hook already names the beneficiary.</t>
        </is>
      </c>
    </row>
    <row r="14" ht="46" customHeight="1">
      <c r="A14" s="12" t="inlineStr">
        <is>
          <t>Framing offer</t>
        </is>
      </c>
      <c r="B14" s="10" t="inlineStr">
        <is>
          <t>A framing code on Inputs adds the first-purchase framing line to Early Access, Now Live, 3 days to go and Last chance. Blank means no offer.</t>
        </is>
      </c>
    </row>
    <row r="15" ht="46" customHeight="1">
      <c r="A15" s="12" t="inlineStr">
        <is>
          <t>Action lines</t>
        </is>
      </c>
      <c r="B15" s="10" t="inlineStr">
        <is>
          <t>Three CTAs: get updates before launch, enter the draw for a draw, buy one for an open window. One deadline form: Closes {date} at {time} UK time, or 'until {time} on {weekday}, {date}' in an email.</t>
        </is>
      </c>
    </row>
    <row r="16" ht="46" customHeight="1">
      <c r="A16" s="12" t="inlineStr">
        <is>
          <t>Mechanic and window</t>
        </is>
      </c>
      <c r="B16" s="10" t="inlineStr">
        <is>
          <t>Set mechanic to timed or draw and the sheet switches every line. For a timed edition, a 48-hour window gets the halfway email; a one-week window gets 5 days to go and 3 days to go.</t>
        </is>
      </c>
    </row>
    <row r="17" ht="46" customHeight="1">
      <c r="A17" s="12" t="inlineStr">
        <is>
          <t>Dates</t>
        </is>
      </c>
      <c r="B17" s="10" t="inlineStr">
        <is>
          <t>Enter launch and close once as date and time; the sheet derives '30 April', '14:00 UK time', 'Thursday' and '07 May' where each email needs them.</t>
        </is>
      </c>
    </row>
    <row r="18" ht="46" customHeight="1">
      <c r="A18" s="12" t="inlineStr">
        <is>
          <t>What stays written</t>
        </is>
      </c>
      <c r="B18" s="10" t="inlineStr">
        <is>
          <t>A delay reason, a framing paragraph, editorial deep dives, the rest of the Monthly Preview, the artist's own email, artist-local times, and anything for a second release.</t>
        </is>
      </c>
    </row>
    <row r="19" ht="46" customHeight="1">
      <c r="A19" s="12" t="inlineStr">
        <is>
          <t>How to use</t>
        </is>
      </c>
      <c r="B19"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2026-09-11T17:57:05Z</dcterms:created>
  <dcterms:modified xsi:type="dcterms:W3CDTF">2026-09-11T17:57:05Z</dcterms:modified>
</cp:coreProperties>
</file>