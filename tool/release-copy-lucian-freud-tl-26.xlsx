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Lucian Freud</t>
        </is>
      </c>
      <c r="C4" s="2" t="inlineStr">
        <is>
          <t>full name: the works are 'by' this name</t>
        </is>
      </c>
    </row>
    <row r="5">
      <c r="A5" s="4" t="inlineStr">
        <is>
          <t>collab_with</t>
        </is>
      </c>
      <c r="B5" s="5" t="inlineStr">
        <is>
          <t>the Lucian Freud Estate</t>
        </is>
      </c>
      <c r="C5" s="2" t="inlineStr">
        <is>
          <t>the words after 'collaboration with': usually the name, or the estate</t>
        </is>
      </c>
    </row>
    <row r="6">
      <c r="A6" s="4" t="inlineStr">
        <is>
          <t>handle</t>
        </is>
      </c>
      <c r="B6" s="5" t="inlineStr"/>
      <c r="C6" s="2" t="inlineStr">
        <is>
          <t>Instagram handle, blank if none</t>
        </is>
      </c>
    </row>
    <row r="7">
      <c r="A7" s="4" t="inlineStr">
        <is>
          <t>x_handle</t>
        </is>
      </c>
      <c r="B7" s="5" t="inlineStr"/>
      <c r="C7" s="2" t="inlineStr">
        <is>
          <t>X (Twitter) handle, blank if none</t>
        </is>
      </c>
    </row>
    <row r="8">
      <c r="A8" s="4" t="inlineStr">
        <is>
          <t>link</t>
        </is>
      </c>
      <c r="B8" s="5" t="inlineStr">
        <is>
          <t>https://avantarte.co/lucianfreud-2026</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t>
        </is>
      </c>
      <c r="B11" s="5" t="inlineStr">
        <is>
          <t>Portraits, 1952–2002</t>
        </is>
      </c>
      <c r="C11" s="2" t="inlineStr">
        <is>
          <t>exactly as it appears, shared by the set if there is one; for untitled works from a named series, the series name</t>
        </is>
      </c>
    </row>
    <row r="12">
      <c r="A12" s="4" t="inlineStr">
        <is>
          <t>is_series</t>
        </is>
      </c>
      <c r="B12" s="5" t="inlineStr">
        <is>
          <t>no</t>
        </is>
      </c>
      <c r="C12" s="2" t="inlineStr">
        <is>
          <t>yes only for untitled works from a named series</t>
        </is>
      </c>
    </row>
    <row r="13">
      <c r="A13" s="4" t="inlineStr">
        <is>
          <t>edition_phrase</t>
        </is>
      </c>
      <c r="B13" s="5" t="inlineStr">
        <is>
          <t>a quartet of new limited edition prints</t>
        </is>
      </c>
      <c r="C13" s="2" t="inlineStr">
        <is>
          <t>e.g. a new limited edition print; a quartet of new limited edition embroideries; a new limited edition print in four colourways</t>
        </is>
      </c>
    </row>
    <row r="14">
      <c r="A14" s="4" t="inlineStr">
        <is>
          <t>works</t>
        </is>
      </c>
      <c r="B14" s="5" t="n">
        <v>4</v>
      </c>
      <c r="C14" s="2" t="inlineStr">
        <is>
          <t>number of artworks: sets the plural wording</t>
        </is>
      </c>
    </row>
    <row r="15">
      <c r="A15" s="4" t="inlineStr">
        <is>
          <t>unit</t>
        </is>
      </c>
      <c r="B15" s="5" t="inlineStr">
        <is>
          <t>print</t>
        </is>
      </c>
      <c r="C15" s="2" t="inlineStr">
        <is>
          <t>what one is called: print, embroidery, sculpture, edition</t>
        </is>
      </c>
    </row>
    <row r="16">
      <c r="A16" s="4" t="inlineStr">
        <is>
          <t>mechanic</t>
        </is>
      </c>
      <c r="B16" s="5" t="inlineStr">
        <is>
          <t>timed</t>
        </is>
      </c>
      <c r="C16" s="2" t="inlineStr">
        <is>
          <t>timed (TL) or draw (LE)</t>
        </is>
      </c>
    </row>
    <row r="17">
      <c r="A17" s="4" t="inlineStr">
        <is>
          <t>window</t>
        </is>
      </c>
      <c r="B17" s="5" t="inlineStr">
        <is>
          <t>48 hours</t>
        </is>
      </c>
      <c r="C17" s="2" t="inlineStr">
        <is>
          <t>48 hours or one week; timed only</t>
        </is>
      </c>
    </row>
    <row r="18">
      <c r="A18" s="4" t="inlineStr">
        <is>
          <t>launch_at</t>
        </is>
      </c>
      <c r="B18" s="6" t="n">
        <v>46126.58333333334</v>
      </c>
      <c r="C18" s="2" t="inlineStr">
        <is>
          <t>date and time the window opens, or the draw opens (UK)</t>
        </is>
      </c>
    </row>
    <row r="19">
      <c r="A19" s="4" t="inlineStr">
        <is>
          <t>closes_at</t>
        </is>
      </c>
      <c r="B19" s="6" t="n">
        <v>46128.58333333334</v>
      </c>
      <c r="C19" s="2" t="inlineStr">
        <is>
          <t>date and time the window or draw closes (UK)</t>
        </is>
      </c>
    </row>
    <row r="20">
      <c r="A20" s="4" t="inlineStr">
        <is>
          <t>beneficiary</t>
        </is>
      </c>
      <c r="B20" s="5" t="inlineStr"/>
      <c r="C20" s="2" t="inlineStr">
        <is>
          <t>as it reads mid-sentence; blank if none</t>
        </is>
      </c>
    </row>
    <row r="21">
      <c r="A21" s="4" t="inlineStr">
        <is>
          <t>beneficiary_handle</t>
        </is>
      </c>
      <c r="B21" s="5" t="inlineStr"/>
      <c r="C21" s="2" t="inlineStr">
        <is>
          <t>blank if none</t>
        </is>
      </c>
    </row>
    <row r="22">
      <c r="A22" s="4" t="inlineStr">
        <is>
          <t>advisor</t>
        </is>
      </c>
      <c r="B22" s="5" t="inlineStr">
        <is>
          <t>Curtis</t>
        </is>
      </c>
      <c r="C22" s="2" t="inlineStr">
        <is>
          <t>signs the Insiders email and the first-time collector survey: Sofiya, Curtis or Sam</t>
        </is>
      </c>
    </row>
    <row r="23">
      <c r="A23" s="4" t="inlineStr">
        <is>
          <t>early_access_code</t>
        </is>
      </c>
      <c r="B23" s="5" t="inlineStr">
        <is>
          <t>000-000</t>
        </is>
      </c>
      <c r="C23" s="2" t="inlineStr">
        <is>
          <t>draw releases</t>
        </is>
      </c>
    </row>
    <row r="24">
      <c r="A24" s="4" t="inlineStr">
        <is>
          <t>framing_code</t>
        </is>
      </c>
      <c r="B24" s="5" t="inlineStr">
        <is>
          <t>Freud-0426-10</t>
        </is>
      </c>
      <c r="C24" s="2" t="inlineStr">
        <is>
          <t>first-purchase framing offer code, e.g. Freud-0426-10; blank for no offer</t>
        </is>
      </c>
    </row>
    <row r="25">
      <c r="A25" s="4" t="inlineStr">
        <is>
          <t>framing_percent</t>
        </is>
      </c>
      <c r="B25" s="5" t="n">
        <v>10</v>
      </c>
      <c r="C25" s="2" t="inlineStr">
        <is>
          <t>10 or 20</t>
        </is>
      </c>
    </row>
    <row r="26">
      <c r="A26" s="4" t="inlineStr">
        <is>
          <t>feature_1</t>
        </is>
      </c>
      <c r="B26" s="5" t="inlineStr">
        <is>
          <t>Individually numbered</t>
        </is>
      </c>
      <c r="C26" s="2" t="inlineStr">
        <is>
          <t>the standard three; clear a cell to drop it</t>
        </is>
      </c>
    </row>
    <row r="27">
      <c r="A27" s="4" t="inlineStr">
        <is>
          <t>feature_2</t>
        </is>
      </c>
      <c r="B27" s="5" t="inlineStr">
        <is>
          <t>Free worldwide shipping</t>
        </is>
      </c>
      <c r="C27" s="2" t="inlineStr"/>
    </row>
    <row r="28">
      <c r="A28" s="4" t="inlineStr">
        <is>
          <t>feature_3</t>
        </is>
      </c>
      <c r="B28" s="5" t="inlineStr">
        <is>
          <t>Created in collaboration with the Lucian Freud Estate and Bridgeman Images</t>
        </is>
      </c>
      <c r="C28" s="2" t="inlineStr"/>
    </row>
    <row r="29">
      <c r="A29" s="4" t="inlineStr">
        <is>
          <t>feature_4</t>
        </is>
      </c>
      <c r="B29" s="5" t="inlineStr">
        <is>
          <t>Available individually, as curated pairs or as a complete quartet</t>
        </is>
      </c>
      <c r="C29" s="2" t="inlineStr">
        <is>
          <t>bespoke, e.g. Hand-finished by the artist. Never 'our'.</t>
        </is>
      </c>
    </row>
    <row r="30">
      <c r="A30" s="4" t="inlineStr">
        <is>
          <t>feature_5</t>
        </is>
      </c>
      <c r="B30" s="5" t="inlineStr"/>
      <c r="C30" s="2" t="inlineStr">
        <is>
          <t>bespoke, e.g. Available individually or as a set</t>
        </is>
      </c>
    </row>
    <row r="32">
      <c r="A32" s="7" t="inlineStr">
        <is>
          <t>Fragments, written once per release. Voice-neutral: no we or our, no artist name in the hook or making line.</t>
        </is>
      </c>
    </row>
    <row r="33" ht="48" customHeight="1">
      <c r="A33" s="4" t="inlineStr">
        <is>
          <t>bio</t>
        </is>
      </c>
      <c r="B33" s="8" t="inlineStr">
        <is>
          <t>Lucian Freud (1922–2011) built his reputation painting people exactly as he saw them. Working from life, often over months of sittings, he turned hours of looking into raw studies of flesh, time and psychological tension.</t>
        </is>
      </c>
      <c r="C33" s="9" t="inlineStr">
        <is>
          <t>2 to 3 sentences on the artist, third person, no handle. Coming Soon post only.</t>
        </is>
      </c>
    </row>
    <row r="34" ht="64" customHeight="1">
      <c r="A34" s="4" t="inlineStr">
        <is>
          <t>hook</t>
        </is>
      </c>
      <c r="B34" s="8" t="inlineStr">
        <is>
          <t>Portraits, 1952–2002 brings together four seminal works spanning five decades of Freud's uncompromising portrait practice, from early intimacy to late self-scrutiny. The quartet is Girl in Bed, 1953; Reflection with Two Children (Self-Portrait), 1965; Double Portrait, 1988–90; and Self-Portrait (Reflection), 2002.</t>
        </is>
      </c>
      <c r="C34" s="9" t="inlineStr">
        <is>
          <t>1 to 2 sentences about the work only. Reused in every post and email.</t>
        </is>
      </c>
    </row>
    <row r="35" ht="64" customHeight="1">
      <c r="A35" s="4" t="inlineStr">
        <is>
          <t>making</t>
        </is>
      </c>
      <c r="B35" s="8" t="inlineStr">
        <is>
          <t>Each print was created in close collaboration with the Lucian Freud Estate by printmakers at Make-Ready, on 310gsm Hahnemühle German Etching paper, to faithfully preserve the texture, tonal depth and psychological intensity of the original paintings.</t>
        </is>
      </c>
      <c r="C35" s="9" t="inlineStr">
        <is>
          <t>one sentence on how the edition was made; write 'printmakers at Make-Ready' and the sheet adds 'our'.</t>
        </is>
      </c>
    </row>
    <row r="36" ht="32" customHeight="1">
      <c r="A36" s="4" t="inlineStr">
        <is>
          <t>quote</t>
        </is>
      </c>
      <c r="B36" s="8" t="inlineStr">
        <is>
          <t>The difficulties of painting yourself are psychological, you've got to try to paint yourself as another person.</t>
        </is>
      </c>
      <c r="C36" s="9" t="inlineStr">
        <is>
          <t>verbatim, a complete sentence, or blank</t>
        </is>
      </c>
    </row>
    <row r="38">
      <c r="A38" s="7" t="inlineStr">
        <is>
          <t>Derived (formulas, do not edit)</t>
        </is>
      </c>
    </row>
    <row r="39">
      <c r="A39" s="4" t="inlineStr">
        <is>
          <t>named</t>
        </is>
      </c>
      <c r="B39" s="10">
        <f>$B$4&amp;IF($B$6="",""," (@"&amp;$B$6&amp;")")</f>
        <v/>
      </c>
    </row>
    <row r="40">
      <c r="A40" s="4" t="inlineStr">
        <is>
          <t>named_x</t>
        </is>
      </c>
      <c r="B40" s="10">
        <f>$B$4&amp;IF($B$7="",""," (@"&amp;$B$7&amp;")")</f>
        <v/>
      </c>
    </row>
    <row r="41">
      <c r="A41" s="4" t="inlineStr">
        <is>
          <t>collab_x</t>
        </is>
      </c>
      <c r="B41" s="10">
        <f>IF($B$5=$B$4,$B$40,$B$5)</f>
        <v/>
      </c>
    </row>
    <row r="42">
      <c r="A42" s="4" t="inlineStr">
        <is>
          <t>a_unit</t>
        </is>
      </c>
      <c r="B42" s="10">
        <f>IF(OR(LEFT($B$15,1)="a",LEFT($B$15,1)="e",LEFT($B$15,1)="i",LEFT($B$15,1)="o",LEFT($B$15,1)="u"),"an ","a ")&amp;$B$15</f>
        <v/>
      </c>
    </row>
    <row r="43">
      <c r="A43" s="4" t="inlineStr">
        <is>
          <t>work</t>
        </is>
      </c>
      <c r="B43" s="10">
        <f>IF($B$12="yes","the "&amp;$B$11&amp;" series","‘"&amp;$B$11&amp;"’")</f>
        <v/>
      </c>
    </row>
    <row r="44">
      <c r="A44" s="4" t="inlineStr">
        <is>
          <t>Work</t>
        </is>
      </c>
      <c r="B44" s="10">
        <f>UPPER(LEFT($B$43,1))&amp;MID($B$43,2,999)</f>
        <v/>
      </c>
    </row>
    <row r="45">
      <c r="A45" s="4" t="inlineStr">
        <is>
          <t>work_email</t>
        </is>
      </c>
      <c r="B45" s="10">
        <f>IF($B$12="yes","the "&amp;$B$11&amp;" series",$B$11)</f>
        <v/>
      </c>
    </row>
    <row r="46">
      <c r="A46" s="4" t="inlineStr">
        <is>
          <t>Work_email</t>
        </is>
      </c>
      <c r="B46" s="10">
        <f>UPPER(LEFT($B$45,1))&amp;MID($B$45,2,999)</f>
        <v/>
      </c>
    </row>
    <row r="47">
      <c r="A47" s="4" t="inlineStr">
        <is>
          <t>work_intro</t>
        </is>
      </c>
      <c r="B47" s="10">
        <f>IF($B$12="yes",$B$13&amp;" from the "&amp;$B$11&amp;" series",IF($B$14=1,$B$11&amp;", "&amp;$B$13,$B$13))</f>
        <v/>
      </c>
    </row>
    <row r="48">
      <c r="A48" s="4" t="inlineStr">
        <is>
          <t>support</t>
        </is>
      </c>
      <c r="B48" s="10">
        <f>IF(OR($B$20="",$B$51),"",", released in support of "&amp;$B$20)</f>
        <v/>
      </c>
    </row>
    <row r="49">
      <c r="A49" s="4" t="inlineStr">
        <is>
          <t>beneficiary_tagged</t>
        </is>
      </c>
      <c r="B49" s="10">
        <f>IF($B$20="","",$B$20&amp;IF($B$21="",""," (@"&amp;$B$21&amp;")"))</f>
        <v/>
      </c>
    </row>
    <row r="50" ht="80" customHeight="1">
      <c r="A50" s="4" t="inlineStr">
        <is>
          <t>bio_tagged</t>
        </is>
      </c>
      <c r="B50" s="10">
        <f>IF($B$6="",$B$33,SUBSTITUTE($B$33,$B$4,$B$39,1))</f>
        <v/>
      </c>
    </row>
    <row r="51">
      <c r="A51" s="4" t="inlineStr">
        <is>
          <t>hook_names_beneficiary</t>
        </is>
      </c>
      <c r="B51" s="10">
        <f>IF($B$20="",FALSE,ISNUMBER(SEARCH($B$20,$B$34)))</f>
        <v/>
      </c>
    </row>
    <row r="52">
      <c r="A52" s="4" t="inlineStr">
        <is>
          <t>features</t>
        </is>
      </c>
      <c r="B52" s="10">
        <f>$B$26&amp;IF($B$27="","",". "&amp;$B$27)&amp;IF($B$28="","",". "&amp;$B$28)&amp;IF($B$29="","",". "&amp;$B$29)&amp;IF($B$30="","",". "&amp;$B$30)&amp;"."</f>
        <v/>
      </c>
    </row>
    <row r="53" ht="60" customHeight="1">
      <c r="A53" s="4" t="inlineStr">
        <is>
          <t>features_list</t>
        </is>
      </c>
      <c r="B53" s="10">
        <f>"· "&amp;$B$26&amp;IF($B$27="","",CHAR(10)&amp;"· "&amp;$B$27)&amp;IF($B$28="","",CHAR(10)&amp;"· "&amp;$B$28)&amp;IF($B$29="","",CHAR(10)&amp;"· "&amp;$B$29)&amp;IF($B$30="","",CHAR(10)&amp;"· "&amp;$B$30)</f>
        <v/>
      </c>
    </row>
    <row r="54" ht="70" customHeight="1">
      <c r="A54" s="4" t="inlineStr">
        <is>
          <t>features_list_support</t>
        </is>
      </c>
      <c r="B54" s="10">
        <f>$B$53&amp;IF(OR($B$20="",$B$51),"",CHAR(10)&amp;"· Released in support of "&amp;$B$20)</f>
        <v/>
      </c>
    </row>
    <row r="55">
      <c r="A55" s="4" t="inlineStr">
        <is>
          <t>making_ours</t>
        </is>
      </c>
      <c r="B55" s="10">
        <f>SUBSTITUTE($B$35,"printmakers at Make-Ready","our printmakers at Make-Ready")</f>
        <v/>
      </c>
    </row>
    <row r="56">
      <c r="A56" s="4" t="inlineStr">
        <is>
          <t>making_ours_tagged</t>
        </is>
      </c>
      <c r="B56" s="10">
        <f>SUBSTITUTE($B$35,"printmakers at Make-Ready","our printmakers at Make-Ready (@make__ready)")</f>
        <v/>
      </c>
    </row>
    <row r="57">
      <c r="A57" s="4" t="inlineStr">
        <is>
          <t>launch_date</t>
        </is>
      </c>
      <c r="B57" s="10">
        <f>TEXT($B$18,"d mmmm")</f>
        <v/>
      </c>
    </row>
    <row r="58">
      <c r="A58" s="4" t="inlineStr">
        <is>
          <t>launch_time</t>
        </is>
      </c>
      <c r="B58" s="10">
        <f>TEXT($B$18,"hh:mm")&amp;" UK time"</f>
        <v/>
      </c>
    </row>
    <row r="59">
      <c r="A59" s="4" t="inlineStr">
        <is>
          <t>launch_weekday</t>
        </is>
      </c>
      <c r="B59" s="10">
        <f>TEXT($B$18,"dddd")</f>
        <v/>
      </c>
    </row>
    <row r="60">
      <c r="A60" s="4" t="inlineStr">
        <is>
          <t>launch_date_dd</t>
        </is>
      </c>
      <c r="B60" s="10">
        <f>TEXT($B$18,"dd mmmm")</f>
        <v/>
      </c>
    </row>
    <row r="61">
      <c r="A61" s="4" t="inlineStr">
        <is>
          <t>close_date</t>
        </is>
      </c>
      <c r="B61" s="10">
        <f>TEXT($B$19,"d mmmm")</f>
        <v/>
      </c>
    </row>
    <row r="62">
      <c r="A62" s="4" t="inlineStr">
        <is>
          <t>close_time</t>
        </is>
      </c>
      <c r="B62" s="10">
        <f>TEXT($B$19,"hh:mm")&amp;" UK time"</f>
        <v/>
      </c>
    </row>
    <row r="63">
      <c r="A63" s="4" t="inlineStr">
        <is>
          <t>close_weekday</t>
        </is>
      </c>
      <c r="B63" s="10">
        <f>TEXT($B$19,"dddd")</f>
        <v/>
      </c>
    </row>
    <row r="64">
      <c r="A64" s="4" t="inlineStr">
        <is>
          <t>close_date_dd</t>
        </is>
      </c>
      <c r="B64" s="10">
        <f>TEXT($B$19,"dd mmmm")</f>
        <v/>
      </c>
    </row>
    <row r="65">
      <c r="A65" s="4" t="inlineStr">
        <is>
          <t>collect_phrase</t>
        </is>
      </c>
      <c r="B65" s="10">
        <f>SUBSTITUTE($B$13," new "," ",1)</f>
        <v/>
      </c>
    </row>
    <row r="66">
      <c r="A66" s="4" t="inlineStr">
        <is>
          <t>edition_phrase_cap</t>
        </is>
      </c>
      <c r="B66" s="10">
        <f>UPPER(LEFT($B$13,1))&amp;MID($B$13,2,999)</f>
        <v/>
      </c>
    </row>
    <row r="67">
      <c r="A67" s="4" t="inlineStr">
        <is>
          <t>window_cap</t>
        </is>
      </c>
      <c r="B67" s="10">
        <f>UPPER(LEFT($B$17,1))&amp;MID($B$17,2,999)</f>
        <v/>
      </c>
    </row>
    <row r="68">
      <c r="A68" s="4" t="inlineStr">
        <is>
          <t>card_line</t>
        </is>
      </c>
      <c r="B68" s="10">
        <f>$B$66&amp;" by "&amp;$B$4&amp;"."</f>
        <v/>
      </c>
    </row>
    <row r="69">
      <c r="A69" s="4" t="inlineStr">
        <is>
          <t>card</t>
        </is>
      </c>
      <c r="B69" s="10">
        <f>IF($B$12="yes","Untitled",$B$11)&amp;CHAR(10)&amp;$B$68</f>
        <v/>
      </c>
    </row>
    <row r="70">
      <c r="A70" s="4" t="inlineStr">
        <is>
          <t>quote_line</t>
        </is>
      </c>
      <c r="B70" s="10">
        <f>IF($B$36="","","“"&amp;$B$36&amp;"” – "&amp;$B$4)</f>
        <v/>
      </c>
    </row>
    <row r="71">
      <c r="A71" s="4" t="inlineStr">
        <is>
          <t>each_artwork</t>
        </is>
      </c>
      <c r="B71" s="10">
        <f>IF($B$14&gt;1," for each artwork","")</f>
        <v/>
      </c>
    </row>
    <row r="72">
      <c r="A72" s="4" t="inlineStr">
        <is>
          <t>work_word</t>
        </is>
      </c>
      <c r="B72" s="10">
        <f>IF($B$14&gt;1,"works","work")</f>
        <v/>
      </c>
    </row>
    <row r="73">
      <c r="A73" s="4" t="inlineStr">
        <is>
          <t>add_what</t>
        </is>
      </c>
      <c r="B73" s="10">
        <f>IF($B$14&gt;1,$B$42,$B$45)</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SUBSTITUTE(SUBSTITUTE(SUBSTITUTE(B6,"{named}",Inputs!$B$39),"{work}",Inputs!$B$43),"{edition_phrase}",Inputs!$B$13)</f>
        <v/>
      </c>
    </row>
    <row r="7" ht="16" customHeight="1">
      <c r="A7" s="4" t="inlineStr">
        <is>
          <t>post · announce · status, series</t>
        </is>
      </c>
      <c r="B7" s="8" t="inlineStr">
        <is>
          <t>Announcing {edition_phrase} by {named}, from {work}.</t>
        </is>
      </c>
      <c r="C7" s="10">
        <f>SUBSTITUTE(SUBSTITUTE(SUBSTITUTE(B7,"{named}",Inputs!$B$39),"{work}",Inputs!$B$43),"{edition_phrase}",Inputs!$B$13)</f>
        <v/>
      </c>
    </row>
    <row r="8" ht="16" customHeight="1">
      <c r="A8" s="4" t="inlineStr">
        <is>
          <t>post · sustain · status</t>
        </is>
      </c>
      <c r="B8" s="8" t="inlineStr">
        <is>
          <t>A closer look at {work}, {edition_phrase} by {named}.</t>
        </is>
      </c>
      <c r="C8" s="10">
        <f>SUBSTITUTE(SUBSTITUTE(SUBSTITUTE(B8,"{named}",Inputs!$B$39),"{work}",Inputs!$B$43),"{edition_phrase}",Inputs!$B$13)</f>
        <v/>
      </c>
    </row>
    <row r="9" ht="16" customHeight="1">
      <c r="A9" s="4" t="inlineStr">
        <is>
          <t>post · artist's words · status</t>
        </is>
      </c>
      <c r="B9" s="8" t="inlineStr">
        <is>
          <t>“{quote}” – {artist}</t>
        </is>
      </c>
      <c r="C9" s="10">
        <f>SUBSTITUTE(SUBSTITUTE(B9,"{artist}",Inputs!$B$4),"{quote}",Inputs!$B$36)</f>
        <v/>
      </c>
    </row>
    <row r="10" ht="16" customHeight="1">
      <c r="A10" s="4" t="inlineStr">
        <is>
          <t>post · artist's words · second line</t>
        </is>
      </c>
      <c r="B10" s="8" t="inlineStr">
        <is>
          <t>{Work}, {edition_phrase} by {named}.</t>
        </is>
      </c>
      <c r="C10" s="10">
        <f>SUBSTITUTE(SUBSTITUTE(SUBSTITUTE(B10,"{named}",Inputs!$B$39),"{Work}",Inputs!$B$44),"{edition_phrase}",Inputs!$B$13)</f>
        <v/>
      </c>
    </row>
    <row r="11" ht="16" customHeight="1">
      <c r="A11" s="4" t="inlineStr">
        <is>
          <t>post · live · status</t>
        </is>
      </c>
      <c r="B11" s="8" t="inlineStr">
        <is>
          <t>{Work} by {named} is now available to collect, for {window} only.</t>
        </is>
      </c>
      <c r="C11" s="10">
        <f>SUBSTITUTE(SUBSTITUTE(SUBSTITUTE(B11,"{named}",Inputs!$B$39),"{Work}",Inputs!$B$44),"{window}",Inputs!$B$17)</f>
        <v/>
      </c>
    </row>
    <row r="12" ht="16" customHeight="1">
      <c r="A12" s="4" t="inlineStr">
        <is>
          <t>post · still time · status</t>
        </is>
      </c>
      <c r="B12" s="8" t="inlineStr">
        <is>
          <t>There's still time to collect {work} by {named}.</t>
        </is>
      </c>
      <c r="C12" s="10">
        <f>SUBSTITUTE(SUBSTITUTE(B12,"{named}",Inputs!$B$39),"{work}",Inputs!$B$43)</f>
        <v/>
      </c>
    </row>
    <row r="13" ht="16" customHeight="1">
      <c r="A13" s="4" t="inlineStr">
        <is>
          <t>post · last chance · status</t>
        </is>
      </c>
      <c r="B13" s="8" t="inlineStr">
        <is>
          <t>Last chance to collect {work} by {named}.</t>
        </is>
      </c>
      <c r="C13" s="10">
        <f>SUBSTITUTE(SUBSTITUTE(B13,"{named}",Inputs!$B$39),"{work}",Inputs!$B$43)</f>
        <v/>
      </c>
    </row>
    <row r="14" ht="16" customHeight="1">
      <c r="A14" s="4" t="inlineStr">
        <is>
          <t>post · last chance · status, draw</t>
        </is>
      </c>
      <c r="B14" s="8" t="inlineStr">
        <is>
          <t>Last chance to enter the draw for {work} by {named}.</t>
        </is>
      </c>
      <c r="C14" s="10">
        <f>SUBSTITUTE(SUBSTITUTE(B14,"{named}",Inputs!$B$39),"{work}",Inputs!$B$43)</f>
        <v/>
      </c>
    </row>
    <row r="15" ht="16" customHeight="1">
      <c r="A15" s="4" t="inlineStr">
        <is>
          <t>post · features line</t>
        </is>
      </c>
      <c r="B15" s="8" t="inlineStr">
        <is>
          <t>{features}</t>
        </is>
      </c>
      <c r="C15" s="10">
        <f>SUBSTITUTE(B15,"{features}",Inputs!$B$52)</f>
        <v/>
      </c>
    </row>
    <row r="16" ht="16" customHeight="1">
      <c r="A16" s="4" t="inlineStr">
        <is>
          <t>post · beneficiary line</t>
        </is>
      </c>
      <c r="B16" s="8" t="inlineStr">
        <is>
          <t>Released in support of {beneficiary_tagged}.</t>
        </is>
      </c>
      <c r="C16" s="10">
        <f>SUBSTITUTE(B16,"{beneficiary_tagged}",Inputs!$B$49)</f>
        <v/>
      </c>
    </row>
    <row r="17" ht="32" customHeight="1">
      <c r="A17" s="4" t="inlineStr">
        <is>
          <t>post · action before launch, timed</t>
        </is>
      </c>
      <c r="B17" s="8" t="inlineStr">
        <is>
          <t>Available for {window} from {launch_time} on {launch_date}. Link in bio to get updates.</t>
        </is>
      </c>
      <c r="C17" s="10">
        <f>SUBSTITUTE(SUBSTITUTE(SUBSTITUTE(B17,"{window}",Inputs!$B$17),"{launch_date}",Inputs!$B$57),"{launch_time}",Inputs!$B$58)</f>
        <v/>
      </c>
    </row>
    <row r="18" ht="32" customHeight="1">
      <c r="A18" s="4" t="inlineStr">
        <is>
          <t>post · action before launch, draw</t>
        </is>
      </c>
      <c r="B18" s="8" t="inlineStr">
        <is>
          <t>Enter the draw via our link in bio. Closes {close_date} at {close_time}.</t>
        </is>
      </c>
      <c r="C18" s="10">
        <f>SUBSTITUTE(SUBSTITUTE(B18,"{close_date}",Inputs!$B$61),"{close_time}",Inputs!$B$62)</f>
        <v/>
      </c>
    </row>
    <row r="19" ht="16" customHeight="1">
      <c r="A19" s="4" t="inlineStr">
        <is>
          <t>post · action while open, timed</t>
        </is>
      </c>
      <c r="B19" s="8" t="inlineStr">
        <is>
          <t>Link in bio to buy {a_unit}. Closes {close_date} at {close_time}.</t>
        </is>
      </c>
      <c r="C19" s="10">
        <f>SUBSTITUTE(SUBSTITUTE(SUBSTITUTE(B19,"{a_unit}",Inputs!$B$42),"{close_date}",Inputs!$B$61),"{close_time}",Inputs!$B$62)</f>
        <v/>
      </c>
    </row>
    <row r="20" ht="32" customHeight="1">
      <c r="A20" s="4" t="inlineStr">
        <is>
          <t>post · action while open, draw</t>
        </is>
      </c>
      <c r="B20" s="8" t="inlineStr">
        <is>
          <t>Enter the draw via our link in bio. Closes {close_date} at {close_time}.</t>
        </is>
      </c>
      <c r="C20" s="10">
        <f>SUBSTITUTE(SUBSTITUTE(B20,"{close_date}",Inputs!$B$61),"{close_time}",Inputs!$B$62)</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SUBSTITUTE(SUBSTITUTE(B24,"{collab_x}",Inputs!$B$41),"{ordinal}",Inputs!$B$10)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SUBSTITUTE(B26,"{beneficiary}",Inputs!$B$20)</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SUBSTITUTE(SUBSTITUTE(SUBSTITUTE(SUBSTITUTE(B27,"{link}",Inputs!$B$8),"{window}",Inputs!$B$17),"{launch_date}",Inputs!$B$57),"{launch_time}",Inputs!$B$58)</f>
        <v/>
      </c>
    </row>
    <row r="28" ht="16" customHeight="1">
      <c r="A28" s="4" t="inlineStr">
        <is>
          <t>tweet · action, draw</t>
        </is>
      </c>
      <c r="B28" s="8" t="inlineStr">
        <is>
          <t>Closes {close_date} at {close_time}. Enter the draw: {link}</t>
        </is>
      </c>
      <c r="C28" s="10">
        <f>SUBSTITUTE(SUBSTITUTE(SUBSTITUTE(B28,"{link}",Inputs!$B$8),"{close_date}",Inputs!$B$61),"{close_time}",Inputs!$B$62)</f>
        <v/>
      </c>
    </row>
    <row r="29" ht="16" customHeight="1">
      <c r="A29" s="4" t="inlineStr">
        <is>
          <t>tweet · action while open, timed</t>
        </is>
      </c>
      <c r="B29" s="8" t="inlineStr">
        <is>
          <t>Closes {close_date} at {close_time}. Buy {a_unit}: {link}</t>
        </is>
      </c>
      <c r="C29" s="10">
        <f>SUBSTITUTE(SUBSTITUTE(SUBSTITUTE(SUBSTITUTE(B29,"{link}",Inputs!$B$8),"{a_unit}",Inputs!$B$42),"{close_date}",Inputs!$B$61),"{close_time}",Inputs!$B$62)</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SUBSTITUTE(SUBSTITUTE(B33,"{close_date}",Inputs!$B$61),"{close_time}",Inputs!$B$62)</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SUBSTITUTE(SUBSTITUTE(B35,"{artist}",Inputs!$B$4),"{a_unit}",Inputs!$B$42)</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SUBSTITUTE(SUBSTITUTE(B36,"{framing_code}",Inputs!$B$24),"{framing_percent}",Inputs!$B$25)</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SUBSTITUTE(SUBSTITUTE(B37,"{framing_code}",Inputs!$B$24),"{framing_percent}",Inputs!$B$25)</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SUBSTITUTE(SUBSTITUTE(B39,"{artist}",Inputs!$B$4),"{edition_phrase_cap}",Inputs!$B$66)</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SUBSTITUTE(SUBSTITUTE(SUBSTITUTE(SUBSTITUTE(B40,"{collab_with}",Inputs!$B$5),"{work_intro}",Inputs!$B$47),"{support}",Inputs!$B$48),"{ordinal}",Inputs!$B$10)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SUBSTITUTE(SUBSTITUTE(SUBSTITUTE(SUBSTITUTE(B41,"{window}",Inputs!$B$17),"{launch_time}",Inputs!$B$58),"{launch_weekday}",Inputs!$B$59),"{launch_date_dd}",Inputs!$B$60)</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SUBSTITUTE(SUBSTITUTE(SUBSTITUTE(SUBSTITUTE(B49,"{collab_with}",Inputs!$B$5),"{ordinal}",Inputs!$B$10),"{window}",Inputs!$B$17),"{launch_time}",Inputs!$B$58)</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SUBSTITUTE(SUBSTITUTE(SUBSTITUTE(SUBSTITUTE(B53,"{collab_with}",Inputs!$B$5),"{work_intro}",Inputs!$B$47),"{support}",Inputs!$B$48),"{ordinal}",Inputs!$B$10)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SUBSTITUTE(B54,"{launch_date}",Inputs!$B$57)</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SUBSTITUTE(B55,"{early_access_code}",Inputs!$B$23)</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SUBSTITUTE(SUBSTITUTE(SUBSTITUTE(SUBSTITUTE(B56,"{collab_with}",Inputs!$B$5),"{work_intro}",Inputs!$B$47),"{support}",Inputs!$B$48),"{ordinal}",Inputs!$B$10)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SUBSTITUTE(B57,"{launch_date}",Inputs!$B$57)</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SUBSTITUTE(SUBSTITUTE(B58,"{window}",Inputs!$B$17),"{launch_time}",Inputs!$B$58)</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SUBSTITUTE(B59,"{early_access_code}",Inputs!$B$23)</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SUBSTITUTE(B61,"{advisor}",Inputs!$B$22)</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SUBSTITUTE(SUBSTITUTE(SUBSTITUTE(SUBSTITUTE(SUBSTITUTE(B63,"{collab_with}",Inputs!$B$5),"{work_intro}",Inputs!$B$47),"{support}",Inputs!$B$48),"{ordinal}",Inputs!$B$10),"{window}",Inputs!$B$17)</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SUBSTITUTE(SUBSTITUTE(SUBSTITUTE(SUBSTITUTE(B64,"{close_time}",Inputs!$B$62),"{close_weekday}",Inputs!$B$63),"{close_date_dd}",Inputs!$B$64),"{add_what}",Inputs!$B$73)</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SUBSTITUTE(B66,"{a_unit}",Inputs!$B$42)</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SUBSTITUTE(SUBSTITUTE(B69,"{artist}",Inputs!$B$4),"{collect_phrase}",Inputs!$B$65)</f>
        <v/>
      </c>
    </row>
    <row r="70" ht="32" customHeight="1">
      <c r="A70" s="4" t="inlineStr">
        <is>
          <t>email · 3 days · 2</t>
        </is>
      </c>
      <c r="B70" s="8" t="inlineStr">
        <is>
          <t>Click the link to collect before {close_time} on {close_weekday}, {close_date_dd}.</t>
        </is>
      </c>
      <c r="C70" s="10">
        <f>SUBSTITUTE(SUBSTITUTE(SUBSTITUTE(B70,"{close_time}",Inputs!$B$62),"{close_weekday}",Inputs!$B$63),"{close_date_dd}",Inputs!$B$64)</f>
        <v/>
      </c>
    </row>
    <row r="71" ht="16" customHeight="1">
      <c r="A71" s="4" t="inlineStr">
        <is>
          <t>email · days to go · footer</t>
        </is>
      </c>
      <c r="B71" s="8" t="inlineStr">
        <is>
          <t>Add {a_unit} to your collection</t>
        </is>
      </c>
      <c r="C71" s="10">
        <f>SUBSTITUTE(B71,"{a_unit}",Inputs!$B$42)</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SUBSTITUTE(SUBSTITUTE(SUBSTITUTE(SUBSTITUTE(SUBSTITUTE(SUBSTITUTE(B73,"{collab_with}",Inputs!$B$5),"{collect_phrase}",Inputs!$B$65),"{ordinal}",Inputs!$B$10),"{close_time}",Inputs!$B$62),"{close_weekday}",Inputs!$B$63),"{close_date_dd}",Inputs!$B$64)</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SUBSTITUTE(SUBSTITUTE(B74,"{each_artwork}",Inputs!$B$71),"{work_word}",Inputs!$B$72)</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SUBSTITUTE(SUBSTITUTE(SUBSTITUTE(B75,"{artist}",Inputs!$B$4),"{work_email}",Inputs!$B$45),"{collect_phrase}",Inputs!$B$65)</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SUBSTITUTE(SUBSTITUTE(SUBSTITUTE(B76,"{close_time}",Inputs!$B$62),"{close_weekday}",Inputs!$B$63),"{close_date_dd}",Inputs!$B$64)</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SUBSTITUTE(B80,"{advisor}",Inputs!$B$22)</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SUBSTITUTE(SUBSTITUTE(SUBSTITUTE(B89,"{collab_with}",Inputs!$B$5),"{work_intro}",Inputs!$B$47),"{support}",Inputs!$B$48)</f>
        <v/>
      </c>
    </row>
    <row r="90" ht="32" customHeight="1">
      <c r="A90" s="4" t="inlineStr">
        <is>
          <t>email · monthly preview · when, draw</t>
        </is>
      </c>
      <c r="B90" s="8" t="inlineStr">
        <is>
          <t>The edition will be allocated by a randomised draw, which closes at {close_time} on {close_date}.</t>
        </is>
      </c>
      <c r="C90" s="10">
        <f>SUBSTITUTE(SUBSTITUTE(B90,"{close_date}",Inputs!$B$61),"{close_time}",Inputs!$B$62)</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SUBSTITUTE(SUBSTITUTE(SUBSTITUTE(SUBSTITUTE(B91,"{window}",Inputs!$B$17),"{launch_time}",Inputs!$B$58),"{launch_weekday}",Inputs!$B$59),"{launch_date_dd}",Inputs!$B$60)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Inputs!$B$50</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IF(Inputs!$B$12="yes",Lines!$C$7,Lines!$C$6)</f>
        <v/>
      </c>
      <c r="F5" s="11">
        <f>Inputs!$B$34</f>
        <v/>
      </c>
      <c r="G5" s="11">
        <f>Lines!$C$15&amp;IF(Inputs!$B$51,"",IF(Inputs!$B$49="",""," "&amp;Lines!$C$16))</f>
        <v/>
      </c>
      <c r="H5" s="11">
        <f>IF(Inputs!$B$16="draw",Lines!$C$18,Lines!$C$17)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Inputs!$B$56</f>
        <v/>
      </c>
      <c r="G6" s="11">
        <f>Lines!$C$15&amp;IF(Inputs!$B$49="",""," "&amp;Lines!$C$16)</f>
        <v/>
      </c>
      <c r="H6" s="11">
        <f>IF(Inputs!$B$16="draw",Lines!$C$18,Lines!$C$17)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IF(Inputs!$B$36="","(no quote given, post skipped)",Lines!$C$9)</f>
        <v/>
      </c>
      <c r="F7" s="11">
        <f>IF(Inputs!$B$36="","",Lines!$C$10)</f>
        <v/>
      </c>
      <c r="G7" s="11">
        <f>IF(Inputs!$B$36="","",Lines!$C$15&amp;IF(Inputs!$B$49="",""," "&amp;Lines!$C$16))</f>
        <v/>
      </c>
      <c r="H7" s="11">
        <f>IF(Inputs!$B$36="","",IF(Inputs!$B$16="draw",Lines!$C$18,Lines!$C$17))</f>
        <v/>
      </c>
      <c r="I7" s="11">
        <f>""</f>
        <v/>
      </c>
      <c r="J7" s="11">
        <f>IF(Inputs!$B$36="","(no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IF(Inputs!$B$16="draw","(not used for a draw)",Lines!$C$11)</f>
        <v/>
      </c>
      <c r="F8" s="11">
        <f>""</f>
        <v/>
      </c>
      <c r="G8" s="11">
        <f>IF(Inputs!$B$16="draw","",Lines!$C$15&amp;IF(Inputs!$B$49="",""," "&amp;Lines!$C$16))</f>
        <v/>
      </c>
      <c r="H8" s="11">
        <f>IF(Inputs!$B$16="draw","",IF(Inputs!$B$16="draw",Lines!$C$20,Lines!$C$19))</f>
        <v/>
      </c>
      <c r="I8" s="11">
        <f>""</f>
        <v/>
      </c>
      <c r="J8" s="11">
        <f>IF(Inputs!$B$16="draw","(not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IF(Inputs!$B$16="draw","(not used for a draw)",Lines!$C$12)</f>
        <v/>
      </c>
      <c r="F9" s="11">
        <f>""</f>
        <v/>
      </c>
      <c r="G9" s="11">
        <f>IF(Inputs!$B$16="draw","",Lines!$C$15&amp;IF(Inputs!$B$49="",""," "&amp;Lines!$C$16))</f>
        <v/>
      </c>
      <c r="H9" s="11">
        <f>IF(Inputs!$B$16="draw","",IF(Inputs!$B$16="draw",Lines!$C$20,Lines!$C$19))</f>
        <v/>
      </c>
      <c r="I9" s="11">
        <f>""</f>
        <v/>
      </c>
      <c r="J9" s="11">
        <f>IF(Inputs!$B$16="draw","(not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IF(Inputs!$B$16="draw",Lines!$C$14,Lines!$C$13)</f>
        <v/>
      </c>
      <c r="F10" s="11">
        <f>""</f>
        <v/>
      </c>
      <c r="G10" s="11">
        <f>Lines!$C$15&amp;IF(Inputs!$B$49="",""," "&amp;Lines!$C$16)</f>
        <v/>
      </c>
      <c r="H10" s="11">
        <f>IF(Inputs!$B$16="draw",Lines!$C$20,Lines!$C$19)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SUBSTITUTE(IF(Inputs!$B$12="yes",Lines!$C$7,Lines!$C$6),Inputs!$B$39,Inputs!$B$40)</f>
        <v/>
      </c>
      <c r="E5" s="11">
        <f>Inputs!$B$34</f>
        <v/>
      </c>
      <c r="F5" s="11">
        <f>IF(OR(Inputs!$B$20="",Inputs!$B$51),"",Lines!$C$26)</f>
        <v/>
      </c>
      <c r="G5" s="11">
        <f>IF(Inputs!$B$16="draw",Lines!$C$28,Lines!$C$27)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IF(Inputs!$B$16="draw","(not used for a draw)",SUBSTITUTE(Lines!$C$11,Inputs!$B$39,Inputs!$B$40))</f>
        <v/>
      </c>
      <c r="E6" s="11">
        <f>""</f>
        <v/>
      </c>
      <c r="F6" s="11">
        <f>""</f>
        <v/>
      </c>
      <c r="G6" s="11">
        <f>IF(Inputs!$B$16="draw","",IF(Inputs!$B$16="draw",Lines!$C$28,Lines!$C$29))</f>
        <v/>
      </c>
      <c r="H6" s="11">
        <f>IF(Inputs!$B$16="draw","(not used for a draw)",D6&amp;IF(G6="","",CHAR(10)&amp;CHAR(10)&amp;G6))</f>
        <v/>
      </c>
      <c r="I6" s="11">
        <f>LEN(H6)</f>
        <v/>
      </c>
    </row>
    <row r="7" ht="80" customHeight="1">
      <c r="A7" s="11" t="n">
        <v>4</v>
      </c>
      <c r="B7" s="11" t="inlineStr">
        <is>
          <t>still time (timed only)</t>
        </is>
      </c>
      <c r="C7" s="11" t="inlineStr">
        <is>
          <t>status · action</t>
        </is>
      </c>
      <c r="D7" s="11">
        <f>IF(Inputs!$B$16="draw","(not used for a draw)",SUBSTITUTE(Lines!$C$12,Inputs!$B$39,Inputs!$B$40))</f>
        <v/>
      </c>
      <c r="E7" s="11">
        <f>""</f>
        <v/>
      </c>
      <c r="F7" s="11">
        <f>""</f>
        <v/>
      </c>
      <c r="G7" s="11">
        <f>IF(Inputs!$B$16="draw","",IF(Inputs!$B$16="draw",Lines!$C$28,Lines!$C$29))</f>
        <v/>
      </c>
      <c r="H7" s="11">
        <f>IF(Inputs!$B$16="draw","(not used for a draw)",D7&amp;IF(G7="","",CHAR(10)&amp;CHAR(10)&amp;G7))</f>
        <v/>
      </c>
      <c r="I7" s="11">
        <f>LEN(H7)</f>
        <v/>
      </c>
    </row>
    <row r="8" ht="80" customHeight="1">
      <c r="A8" s="11" t="n">
        <v>5</v>
      </c>
      <c r="B8" s="11" t="inlineStr">
        <is>
          <t>last chance</t>
        </is>
      </c>
      <c r="C8" s="11" t="inlineStr">
        <is>
          <t>status · action</t>
        </is>
      </c>
      <c r="D8" s="11">
        <f>IF(Inputs!$B$16="draw",SUBSTITUTE(Lines!$C$14,Inputs!$B$39,Inputs!$B$40),SUBSTITUTE(Lines!$C$13,Inputs!$B$39,Inputs!$B$40))</f>
        <v/>
      </c>
      <c r="E8" s="11">
        <f>""</f>
        <v/>
      </c>
      <c r="F8" s="11">
        <f>""</f>
        <v/>
      </c>
      <c r="G8" s="11">
        <f>IF(Inputs!$B$16="draw",Lines!$C$28,Lines!$C$29)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IF($D4&lt;&gt;"yes","",IF(Inputs!$B$16="draw","Enter the draw for a chance to collect. Closes "&amp;Inputs!$B$61&amp;".","Launching "&amp;Inputs!$B$57&amp;". Register for updates."))</f>
        <v/>
      </c>
      <c r="G4" s="11">
        <f>IF($D4&lt;&gt;"yes","",IF(Inputs!$B$16="draw","Enter the draw","Launching "&amp;Inputs!$B$57))</f>
        <v/>
      </c>
      <c r="H4" s="11">
        <f>IF($D4&lt;&gt;"yes","",IF(Inputs!$B$16="draw",Inputs!$B$46,Inputs!$B$46&amp;" by "&amp;Inputs!$B$4))</f>
        <v/>
      </c>
      <c r="I4" s="11">
        <f>IF($D4&lt;&gt;"yes","",(Lines!$C$40&amp;IF(Inputs!$B$34="","",CHAR(10)&amp;CHAR(10)&amp;Inputs!$B$34)&amp;IF(Inputs!$B$55="","",CHAR(10)&amp;CHAR(10)&amp;Inputs!$B$55)&amp;IF(Inputs!$B$53="","",CHAR(10)&amp;CHAR(10)&amp;Inputs!$B$53)&amp;IF(IF(Inputs!$B$16="draw",Lines!$C$33,(Lines!$C$41&amp;IF(Lines!$C$42="","",CHAR(10)&amp;CHAR(10)&amp;Lines!$C$42)))="","",CHAR(10)&amp;CHAR(10)&amp;IF(Inputs!$B$16="draw",Lines!$C$33,(Lines!$C$41&amp;IF(Lines!$C$42="","",CHAR(10)&amp;CHAR(10)&amp;Lines!$C$42))))))</f>
        <v/>
      </c>
      <c r="J4" s="11">
        <f>IF($D4&lt;&gt;"yes","",IF(Inputs!$B$16="draw","Enter the draw","Discover the collaboration"))</f>
        <v/>
      </c>
      <c r="K4" s="11">
        <f>IF($D4&lt;&gt;"yes","",Inputs!$B$69)</f>
        <v/>
      </c>
      <c r="L4" s="11">
        <f>IF($D4&lt;&gt;"yes","",Inputs!$B$70)</f>
        <v/>
      </c>
      <c r="M4" s="11">
        <f>IF($D4&lt;&gt;"yes","",IF(Inputs!$B$16="draw","Collect "&amp;Inputs!$B$65,"Launching "&amp;Inputs!$B$57))</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IF(Inputs!$B$16="draw","(not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IF(Inputs!$B$16="draw","(not used for a draw)","yes")</f>
        <v/>
      </c>
      <c r="E6" s="11">
        <f>IF($D6&lt;&gt;"yes","",Inputs!$B$4&amp;" – Early access 🔓")</f>
        <v/>
      </c>
      <c r="F6" s="11">
        <f>IF($D6&lt;&gt;"yes","","Collect 24 hours before everyone else.")</f>
        <v/>
      </c>
      <c r="G6" s="11">
        <f>""</f>
        <v/>
      </c>
      <c r="H6" s="11">
        <f>""</f>
        <v/>
      </c>
      <c r="I6" s="11">
        <f>IF($D6&lt;&gt;"yes","",(Lines!$C$31&amp;IF(Lines!$C$49="","",CHAR(10)&amp;CHAR(10)&amp;Lines!$C$49)&amp;IF(Inputs!$B$34="","",CHAR(10)&amp;CHAR(10)&amp;Inputs!$B$34)&amp;IF(Inputs!$B$54="","",CHAR(10)&amp;CHAR(10)&amp;Inputs!$B$54)&amp;IF(Lines!$C$50="","",CHAR(10)&amp;CHAR(10)&amp;Lines!$C$50)&amp;IF(IF(Inputs!$B$24="","",Lines!$C$36)="","",CHAR(10)&amp;CHAR(10)&amp;IF(Inputs!$B$24="","",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IF(Inputs!$B$16="draw","(not used for a draw)","yes")</f>
        <v/>
      </c>
      <c r="E7" s="11">
        <f>IF($D7&lt;&gt;"yes","",Inputs!$B$4&amp;" – Early access for past collectors")</f>
        <v/>
      </c>
      <c r="F7" s="11">
        <f>IF($D7&lt;&gt;"yes","","Order before everyone else.")</f>
        <v/>
      </c>
      <c r="G7" s="11">
        <f>""</f>
        <v/>
      </c>
      <c r="H7" s="11">
        <f>""</f>
        <v/>
      </c>
      <c r="I7" s="11">
        <f>IF($D7&lt;&gt;"yes","",(Lines!$C$31&amp;IF(Lines!$C$49="","",CHAR(10)&amp;CHAR(10)&amp;Lines!$C$49)&amp;IF(Inputs!$B$34="","",CHAR(10)&amp;CHAR(10)&amp;Inputs!$B$34)&amp;IF(Inputs!$B$54="","",CHAR(10)&amp;CHAR(10)&amp;Inputs!$B$54)&amp;IF(Lines!$C$51="","",CHAR(10)&amp;CHAR(10)&amp;Lines!$C$51)&amp;IF(Lines!$C$52="","",CHAR(10)&amp;CHAR(10)&amp;Lines!$C$52)&amp;IF(Lines!$C$34="","",CHAR(10)&amp;CHAR(10)&amp;Lines!$C$34)&amp;IF(Lines!$C$32="","",CHAR(10)&amp;CHAR(10)&amp;Lines!$C$32)))</f>
        <v/>
      </c>
      <c r="J7" s="11">
        <f>IF($D7&lt;&gt;"yes","","Unlock early access")</f>
        <v/>
      </c>
      <c r="K7" s="11">
        <f>IF($D7&lt;&gt;"yes","",Inputs!$B$69)</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IF($D8&lt;&gt;"yes","",IF(Inputs!$B$16="draw","A first look, plus early access to a limited number of pre-orders.","Collect 24 hours before everyone else."))</f>
        <v/>
      </c>
      <c r="G8" s="11">
        <f>""</f>
        <v/>
      </c>
      <c r="H8" s="11">
        <f>""</f>
        <v/>
      </c>
      <c r="I8" s="11">
        <f>IF($D8&lt;&gt;"yes","",(Lines!$C$31&amp;IF(Lines!$C$56="","",CHAR(10)&amp;CHAR(10)&amp;Lines!$C$56)&amp;IF(Inputs!$B$34="","",CHAR(10)&amp;CHAR(10)&amp;Inputs!$B$34)&amp;IF(IF(Inputs!$B$16="draw",Lines!$C$57,Lines!$C$58)="","",CHAR(10)&amp;CHAR(10)&amp;IF(Inputs!$B$16="draw",Lines!$C$57,Lines!$C$58))&amp;IF(IF(Inputs!$B$16="draw",Lines!$C$59,Lines!$C$60)="","",CHAR(10)&amp;CHAR(10)&amp;IF(Inputs!$B$16="draw",Lines!$C$59,Lines!$C$60))&amp;IF(Lines!$C$32="","",CHAR(10)&amp;CHAR(10)&amp;Lines!$C$32)&amp;IF(Lines!$C$61="","",CHAR(10)&amp;CHAR(10)&amp;Lines!$C$61)))</f>
        <v/>
      </c>
      <c r="J8" s="11">
        <f>IF($D8&lt;&gt;"yes","","Unlock early access")</f>
        <v/>
      </c>
      <c r="K8" s="11">
        <f>IF($D8&lt;&gt;"yes","",Inputs!$B$69)</f>
        <v/>
      </c>
      <c r="L8" s="11">
        <f>""</f>
        <v/>
      </c>
      <c r="M8" s="11">
        <f>IF($D8&lt;&gt;"yes","",IF(Inputs!$B$16="draw","Especially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IF(Inputs!$B$16="draw","yes","(not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$34="","",CHAR(10)&amp;CHAR(10)&amp;Inputs!$B$34)&amp;IF(Lines!$C$54="","",CHAR(10)&amp;CHAR(10)&amp;Lines!$C$54)&amp;IF(Lines!$C$55="","",CHAR(10)&amp;CHAR(10)&amp;Lines!$C$55)&amp;IF(Lines!$C$34="","",CHAR(10)&amp;CHAR(10)&amp;Lines!$C$34)&amp;IF(Lines!$C$32="","",CHAR(10)&amp;CHAR(10)&amp;Lines!$C$32)))</f>
        <v/>
      </c>
      <c r="J9" s="11">
        <f>IF($D9&lt;&gt;"yes","","Unlock early access")</f>
        <v/>
      </c>
      <c r="K9" s="11">
        <f>IF($D9&lt;&gt;"yes","",Inputs!$B$69)</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IF(Inputs!$B$16="draw","(not used for a draw)","yes")</f>
        <v/>
      </c>
      <c r="E10" s="11">
        <f>IF($D10&lt;&gt;"yes","",Inputs!$B$4&amp;" – Available now, for "&amp;Inputs!$B$17&amp;" only")</f>
        <v/>
      </c>
      <c r="F10" s="11">
        <f>IF($D10&lt;&gt;"yes","",Inputs!$B$67&amp;", starting now.")</f>
        <v/>
      </c>
      <c r="G10" s="11">
        <f>IF($D10&lt;&gt;"yes","",Lines!$C$35)</f>
        <v/>
      </c>
      <c r="H10" s="11">
        <f>IF($D10&lt;&gt;"yes","",Inputs!$B$67&amp;", starting now")</f>
        <v/>
      </c>
      <c r="I10" s="11">
        <f>IF($D10&lt;&gt;"yes","",(Lines!$C$63&amp;IF(Inputs!$B$34="","",CHAR(10)&amp;CHAR(10)&amp;Inputs!$B$34)&amp;IF(Inputs!$B$55="","",CHAR(10)&amp;CHAR(10)&amp;Inputs!$B$55)&amp;IF(Inputs!$B$54="","",CHAR(10)&amp;CHAR(10)&amp;Inputs!$B$54)&amp;IF(Lines!$C$64="","",CHAR(10)&amp;CHAR(10)&amp;Lines!$C$64)&amp;IF(IF(Inputs!$B$24="","",Lines!$C$36)="","",CHAR(10)&amp;CHAR(10)&amp;IF(Inputs!$B$24="","",Lines!$C$36))))</f>
        <v/>
      </c>
      <c r="J10" s="11">
        <f>IF($D10&lt;&gt;"yes","","Buy now")</f>
        <v/>
      </c>
      <c r="K10" s="11">
        <f>IF($D10&lt;&gt;"yes","",Inputs!$B$69)</f>
        <v/>
      </c>
      <c r="L10" s="11">
        <f>IF($D10&lt;&gt;"yes","",Inputs!$B$70)</f>
        <v/>
      </c>
      <c r="M10" s="11">
        <f>IF($D10&lt;&gt;"yes","","Collect "&amp;Inputs!$B$65)</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IF(Inputs!$B$16="draw","(not used for a draw)",IF(Inputs!$B$17="48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IF(Inputs!$B$16="draw","(not used for a draw)",IF(Inputs!$B$17="48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"&amp;Inputs!$B$42)</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IF(Inputs!$B$16="draw","(not used for a draw)",IF(Inputs!$B$17="48 hours","(one-week windows only; a 48-hour window gets the halfway email)","yes"))</f>
        <v/>
      </c>
      <c r="E13" s="11">
        <f>IF($D13&lt;&gt;"yes","",Inputs!$B$4&amp;" – 3 days to go")</f>
        <v/>
      </c>
      <c r="F13" s="11">
        <f>""</f>
        <v/>
      </c>
      <c r="G13" s="11">
        <f>IF($D13&lt;&gt;"yes","",Inputs!$B$46&amp;" by "&amp;Inputs!$B$4)</f>
        <v/>
      </c>
      <c r="H13" s="11">
        <f>IF($D13&lt;&gt;"yes","",Lines!$C$68)</f>
        <v/>
      </c>
      <c r="I13" s="11">
        <f>IF($D13&lt;&gt;"yes","",(Lines!$C$69&amp;IF(Inputs!$B$34="","",CHAR(10)&amp;CHAR(10)&amp;Inputs!$B$34)&amp;IF(Lines!$C$70="","",CHAR(10)&amp;CHAR(10)&amp;Lines!$C$70)&amp;IF(IF(Inputs!$B$24="","",Lines!$C$37)="","",CHAR(10)&amp;CHAR(10)&amp;IF(Inputs!$B$24="","",Lines!$C$37))))</f>
        <v/>
      </c>
      <c r="J13" s="11">
        <f>IF($D13&lt;&gt;"yes","","Buy "&amp;Inputs!$B$42)</f>
        <v/>
      </c>
      <c r="K13" s="11">
        <f>IF($D13&lt;&gt;"yes","",Inputs!$B$69)</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"&amp;IF(Inputs!$B$16="draw","enter the draw","collect"))</f>
        <v/>
      </c>
      <c r="F14" s="11">
        <f>IF($D14&lt;&gt;"yes","",IF(Inputs!$B$16="draw","The draw closes at "&amp;Inputs!$B$62&amp;" on "&amp;Inputs!$B$61&amp;".","Time is almost up."))</f>
        <v/>
      </c>
      <c r="G14" s="11">
        <f>IF($D14&lt;&gt;"yes","",Inputs!$B$4)</f>
        <v/>
      </c>
      <c r="H14" s="11">
        <f>IF($D14&lt;&gt;"yes","",IF(Inputs!$B$16="draw","Last chance to enter the draw","Last chance to collect"))</f>
        <v/>
      </c>
      <c r="I14" s="11">
        <f>IF($D14&lt;&gt;"yes","",IF(Inputs!$B$16="draw",(Lines!$C$75&amp;IF(Inputs!$B$34="","",CHAR(10)&amp;CHAR(10)&amp;Inputs!$B$34)&amp;IF(Lines!$C$76="","",CHAR(10)&amp;CHAR(10)&amp;Lines!$C$76)),(Lines!$C$73&amp;IF(Lines!$C$74="","",CHAR(10)&amp;CHAR(10)&amp;Lines!$C$74)&amp;IF(IF(Inputs!$B$24="","",Lines!$C$37)="","",CHAR(10)&amp;CHAR(10)&amp;IF(Inputs!$B$24="","",Lines!$C$37)))))</f>
        <v/>
      </c>
      <c r="J14" s="11">
        <f>IF($D14&lt;&gt;"yes","",IF(Inputs!$B$16="draw","Enter the draw","Buy now"))</f>
        <v/>
      </c>
      <c r="K14" s="11">
        <f>IF($D14&lt;&gt;"yes","",Inputs!$B$69)</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IF(Inputs!$B$16="draw","yes","(not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IF(Inputs!$B$16="draw","yes","(not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$34="","",CHAR(10)&amp;CHAR(10)&amp;Inputs!$B$34)&amp;IF(Inputs!$B$55="","",CHAR(10)&amp;CHAR(10)&amp;Inputs!$B$55)&amp;IF(IF(Inputs!$B$16="draw",Lines!$C$90,Lines!$C$91)="","",CHAR(10)&amp;CHAR(10)&amp;IF(Inputs!$B$16="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Naming the work</t>
        </is>
      </c>
      <c r="B8" s="10" t="inlineStr">
        <is>
          <t>The opener names the work only for a single print: 'The Changeling, a new limited edition print'. A pair or a quartet is just the edition phrase, and the hook names the work; many sets have no collective name anyway. Untitled works from a named series read 'six new limited edition prints from the Dream House series'.</t>
        </is>
      </c>
    </row>
    <row r="9" ht="46" customHeight="1">
      <c r="A9" s="12" t="inlineStr">
        <is>
          <t>Fragments</t>
        </is>
      </c>
      <c r="B9" s="10" t="inlineStr">
        <is>
          <t>Four per release, written once: bio (2 to 3 sentences, Coming Soon only), hook (1 to 2 sentences about the work, in every post and email), making (one sentence on how it was made), quote (verbatim). The hook and bio must not repeat each other.</t>
        </is>
      </c>
    </row>
    <row r="10" ht="46" customHeight="1">
      <c r="A10" s="12" t="inlineStr">
        <is>
          <t>Voice</t>
        </is>
      </c>
      <c r="B10" s="10" t="inlineStr">
        <is>
          <t>Fragments are voice-neutral: no we or our, no artist name in the hook or the making line, and 'printmakers at Make-Ready' where it applies. The sheet adds 'our'. The Insiders email and the first-time survey are signed by the advisor named on Inputs. Features never say 'our'.</t>
        </is>
      </c>
    </row>
    <row r="11" ht="46" customHeight="1">
      <c r="A11" s="12" t="inlineStr">
        <is>
          <t>Who and what</t>
        </is>
      </c>
      <c r="B11" s="10" t="inlineStr">
        <is>
          <t>'by {artist}' is always the artist. 'collaboration with {collab_with}' is the artist's name, or the estate. 'unit' is what one is called (print, embroidery, sculpture), and the sheet writes 'a print' or 'an embroidery' wherever a line names one.</t>
        </is>
      </c>
    </row>
    <row r="12" ht="46" customHeight="1">
      <c r="A12" s="12" t="inlineStr">
        <is>
          <t>Features</t>
        </is>
      </c>
      <c r="B12" s="10" t="inlineStr">
        <is>
          <t>The standard three (signed by the artist, individually numbered, free worldwide shipping) plus anything bespoke: framed, a set offer, a partner credit. One line of short sentences in a post, a list in an email. The beneficiary follows, named once.</t>
        </is>
      </c>
    </row>
    <row r="13" ht="46" customHeight="1">
      <c r="A13" s="12" t="inlineStr">
        <is>
          <t>Beneficiary</t>
        </is>
      </c>
      <c r="B13" s="10" t="inlineStr">
        <is>
          <t>One phrase everywhere: 'released in support of'. It goes in the opener unless the hook already names the beneficiary.</t>
        </is>
      </c>
    </row>
    <row r="14" ht="46" customHeight="1">
      <c r="A14" s="12" t="inlineStr">
        <is>
          <t>Framing offer</t>
        </is>
      </c>
      <c r="B14" s="10" t="inlineStr">
        <is>
          <t>A framing code on Inputs adds the first-purchase framing line to Early Access, Now Live, 3 days to go and Last chance. Blank means no offer.</t>
        </is>
      </c>
    </row>
    <row r="15" ht="46" customHeight="1">
      <c r="A15" s="12" t="inlineStr">
        <is>
          <t>Action lines</t>
        </is>
      </c>
      <c r="B15" s="10" t="inlineStr">
        <is>
          <t>Three CTAs: get updates before launch, enter the draw for a draw, buy one for an open window. One deadline form: Closes {date} at {time} UK time, or 'until {time} on {weekday}, {date}' in an email.</t>
        </is>
      </c>
    </row>
    <row r="16" ht="46" customHeight="1">
      <c r="A16" s="12" t="inlineStr">
        <is>
          <t>Mechanic and window</t>
        </is>
      </c>
      <c r="B16" s="10" t="inlineStr">
        <is>
          <t>Set mechanic to timed or draw and the sheet switches every line. For a timed edition, a 48-hour window gets the halfway email; a one-week window gets 5 days to go and 3 days to go.</t>
        </is>
      </c>
    </row>
    <row r="17" ht="46" customHeight="1">
      <c r="A17" s="12" t="inlineStr">
        <is>
          <t>Dates</t>
        </is>
      </c>
      <c r="B17" s="10" t="inlineStr">
        <is>
          <t>Enter launch and close once as date and time; the sheet derives '30 April', '14:00 UK time', 'Thursday' and '07 May' where each email needs them.</t>
        </is>
      </c>
    </row>
    <row r="18" ht="46" customHeight="1">
      <c r="A18" s="12" t="inlineStr">
        <is>
          <t>What stays written</t>
        </is>
      </c>
      <c r="B18" s="10" t="inlineStr">
        <is>
          <t>A delay reason, a framing paragraph, editorial deep dives, the rest of the Monthly Preview, the artist's own email, artist-local times, and anything for a second release.</t>
        </is>
      </c>
    </row>
    <row r="19" ht="46" customHeight="1">
      <c r="A19" s="12" t="inlineStr">
        <is>
          <t>How to use</t>
        </is>
      </c>
      <c r="B19"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2026-09-11T17:44:38Z</dcterms:created>
  <dcterms:modified xsi:type="dcterms:W3CDTF">2026-09-11T17:44:38Z</dcterms:modified>
</cp:coreProperties>
</file>