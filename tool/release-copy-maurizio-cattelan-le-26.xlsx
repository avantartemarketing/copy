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81"/>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Maurizio Cattelan</t>
        </is>
      </c>
      <c r="C4" s="2" t="inlineStr">
        <is>
          <t>full name: the works are 'by' this name</t>
        </is>
      </c>
    </row>
    <row r="5">
      <c r="A5" s="4" t="inlineStr">
        <is>
          <t>collab_with</t>
        </is>
      </c>
      <c r="B5" s="5" t="inlineStr">
        <is>
          <t>Italian artist Maurizio Cattelan</t>
        </is>
      </c>
      <c r="C5" s="2" t="inlineStr">
        <is>
          <t>the words after 'collaboration with': usually the name, or the estate</t>
        </is>
      </c>
    </row>
    <row r="6">
      <c r="A6" s="4" t="inlineStr">
        <is>
          <t>handle</t>
        </is>
      </c>
      <c r="B6" s="5" t="inlineStr">
        <is>
          <t>mauriziocattelan</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https://avantarte.co/maurizio-cattelan-x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Window</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new limited edition print</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46048.54166666666</v>
      </c>
      <c r="C20" s="2" t="inlineStr">
        <is>
          <t>date and time the window opens, or the draw opens (UK)</t>
        </is>
      </c>
    </row>
    <row r="21">
      <c r="A21" s="4" t="inlineStr">
        <is>
          <t>closes_at</t>
        </is>
      </c>
      <c r="B21" s="6" t="n">
        <v>46073.70833333334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918-831</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Four silkscreen layers with a matte varnish seal</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Maurizio Cattelan is Italy's most provocative living artist, known for satirical sculptures and for Comedian, the duct-taped banana that sold for millions at Art Basel Miami Beach in 2019.</t>
        </is>
      </c>
      <c r="C35" s="9" t="inlineStr">
        <is>
          <t>2 to 3 sentences on the artist, third person, no handle. Coming Soon post only.</t>
        </is>
      </c>
    </row>
    <row r="36" ht="48" customHeight="1">
      <c r="A36" s="4" t="inlineStr">
        <is>
          <t>hook</t>
        </is>
      </c>
      <c r="B36" s="8" t="inlineStr">
        <is>
          <t>Window reimagines Cattelan's legendary Comedian, the duct-taped banana, against hyper-realistic natural landscapes, grounding his provocative symbol in serene compositions of subtly absurd beauty.</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 the artist's first print release with Avant Arte</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opener</t>
        </is>
      </c>
      <c r="B38" s="8" t="inlineStr"/>
      <c r="C38" s="9" t="inlineStr">
        <is>
          <t>or the announcement's first sentence written whole, e.g. Surveillance and defiance bubble to the surface in a new limited edition silkscreen print by Ai Weiwei. Blank keeps the framed line. One sentence, the artist in full, the words limited edition. The four other emails keep the framed line either way; if this leaves out the beneficiary, the features list names it.</t>
        </is>
      </c>
    </row>
    <row r="39" ht="32" customHeight="1">
      <c r="A39" s="4" t="inlineStr">
        <is>
          <t>making</t>
        </is>
      </c>
      <c r="B39" s="8" t="inlineStr">
        <is>
          <t>Each silkscreen print was produced by printmakers at Make-Ready in four layers, sealed with a matte varnish.</t>
        </is>
      </c>
      <c r="C39" s="9" t="inlineStr">
        <is>
          <t>one sentence on how the edition was made; write 'printmakers at Make-Ready' and the sheet adds 'our'.</t>
        </is>
      </c>
    </row>
    <row r="40" ht="32" customHeight="1">
      <c r="A40" s="4" t="inlineStr">
        <is>
          <t>card_line_1</t>
        </is>
      </c>
      <c r="B40" s="8" t="inlineStr">
        <is>
          <t>The duct-taped banana of Comedian, transplanted from the gallery wall to a hyper-realistic landscape, in four silkscreen layers sealed with matte varnish.</t>
        </is>
      </c>
      <c r="C40" s="9" t="inlineStr">
        <is>
          <t>one sentence on the first work, 15 to 30 words, under its card in six emails. With several works, say something different about each: the edition is described above the cards, so do not call each one a limited edition print.</t>
        </is>
      </c>
    </row>
    <row r="41" ht="32" customHeight="1">
      <c r="A41" s="4" t="inlineStr">
        <is>
          <t>card_line_2</t>
        </is>
      </c>
      <c r="B41" s="8" t="inlineStr"/>
      <c r="C41" s="9" t="inlineStr">
        <is>
          <t>the second titled work; blank otherwise</t>
        </is>
      </c>
    </row>
    <row r="42" ht="32" customHeight="1">
      <c r="A42" s="4" t="inlineStr">
        <is>
          <t>card_line_3</t>
        </is>
      </c>
      <c r="B42" s="8" t="inlineStr"/>
      <c r="C42" s="9" t="inlineStr">
        <is>
          <t>the third; blank otherwise</t>
        </is>
      </c>
    </row>
    <row r="43" ht="32" customHeight="1">
      <c r="A43" s="4" t="inlineStr">
        <is>
          <t>quote</t>
        </is>
      </c>
      <c r="B43" s="8" t="inlineStr">
        <is>
          <t>A comedian is doomed to make people laugh.</t>
        </is>
      </c>
      <c r="C43" s="9" t="inlineStr">
        <is>
          <t>verbatim, a complete sentence, or blank</t>
        </is>
      </c>
    </row>
    <row r="45">
      <c r="A45" s="7" t="inlineStr">
        <is>
          <t>Derived (formulas, do not edit)</t>
        </is>
      </c>
    </row>
    <row r="46">
      <c r="A46" s="4" t="inlineStr">
        <is>
          <t>named</t>
        </is>
      </c>
      <c r="B46" s="10">
        <f>$B$4&amp;IF($B$6="",""," (@"&amp;$B$6&amp;")")</f>
        <v/>
      </c>
    </row>
    <row r="47">
      <c r="A47" s="4" t="inlineStr">
        <is>
          <t>named_x</t>
        </is>
      </c>
      <c r="B47" s="10">
        <f>$B$4&amp;IF($B$7="",""," (@"&amp;$B$7&amp;")")</f>
        <v/>
      </c>
    </row>
    <row r="48">
      <c r="A48" s="4" t="inlineStr">
        <is>
          <t>collab_x</t>
        </is>
      </c>
      <c r="B48" s="10">
        <f>IF($B$5=$B$4,$B$47,$B$5)</f>
        <v/>
      </c>
    </row>
    <row r="49">
      <c r="A49" s="4" t="inlineStr">
        <is>
          <t>a_unit</t>
        </is>
      </c>
      <c r="B49" s="10">
        <f>IF(OR(LEFT($B$17,1)="a",LEFT($B$17,1)="e",LEFT($B$17,1)="i",LEFT($B$17,1)="o",LEFT($B$17,1)="u"),"an ","a ")&amp;$B$17</f>
        <v/>
      </c>
    </row>
    <row r="50">
      <c r="A50" s="4" t="inlineStr">
        <is>
          <t>work</t>
        </is>
      </c>
      <c r="B50" s="10">
        <f>IF($B$14&lt;&gt;"","the "&amp;$B$14&amp;" series",IF($B$12="","‘"&amp;$B$11&amp;"’",IF($B$13="","‘"&amp;$B$11&amp;"’ and ‘"&amp;$B$12&amp;"’","‘"&amp;$B$11&amp;"’, ‘"&amp;$B$12&amp;"’ and ‘"&amp;$B$13&amp;"’")))</f>
        <v/>
      </c>
    </row>
    <row r="51">
      <c r="A51" s="4" t="inlineStr">
        <is>
          <t>Work</t>
        </is>
      </c>
      <c r="B51" s="10">
        <f>UPPER(LEFT($B$50,1))&amp;MID($B$50,2,999)</f>
        <v/>
      </c>
    </row>
    <row r="52">
      <c r="A52" s="4" t="inlineStr">
        <is>
          <t>work_email</t>
        </is>
      </c>
      <c r="B52" s="10">
        <f>IF($B$14&lt;&gt;"","the "&amp;$B$14&amp;" series",IF($B$12="",$B$11,IF($B$13="",$B$11&amp;" and "&amp;$B$12,$B$11&amp;", "&amp;$B$12&amp;" and "&amp;$B$13)))</f>
        <v/>
      </c>
    </row>
    <row r="53">
      <c r="A53" s="4" t="inlineStr">
        <is>
          <t>Work_email</t>
        </is>
      </c>
      <c r="B53" s="10">
        <f>UPPER(LEFT($B$52,1))&amp;MID($B$52,2,999)</f>
        <v/>
      </c>
    </row>
    <row r="54">
      <c r="A54" s="4" t="inlineStr">
        <is>
          <t>work_intro</t>
        </is>
      </c>
      <c r="B54" s="10">
        <f>IF($B$16=1,$B$11&amp;", ","")&amp;$B$15&amp;IF(OR($B$37="",$B$55&lt;&gt;""),"",IF(LEFT($B$37,1)=",",""," ")&amp;$B$37)</f>
        <v/>
      </c>
    </row>
    <row r="55">
      <c r="A55" s="4" t="inlineStr">
        <is>
          <t>support</t>
        </is>
      </c>
      <c r="B55" s="10">
        <f>IF(OR($B$22="",$B$59),"",", released in support of "&amp;$B$22)</f>
        <v/>
      </c>
    </row>
    <row r="56">
      <c r="A56" s="4" t="inlineStr">
        <is>
          <t>tweet_beneficiary</t>
        </is>
      </c>
      <c r="B56" s="10">
        <f>IF(OR($B$22="",$B$59),"",", in support of "&amp;$B$22)</f>
        <v/>
      </c>
    </row>
    <row r="57">
      <c r="A57" s="4" t="inlineStr">
        <is>
          <t>beneficiary_tagged</t>
        </is>
      </c>
      <c r="B57" s="10">
        <f>IF($B$22="","",$B$22&amp;IF($B$23="",""," (@"&amp;$B$23&amp;")"))</f>
        <v/>
      </c>
    </row>
    <row r="58" ht="80" customHeight="1">
      <c r="A58" s="4" t="inlineStr">
        <is>
          <t>bio_tagged</t>
        </is>
      </c>
      <c r="B58" s="10">
        <f>IF($B$6="",$B$35,SUBSTITUTE($B$35,$B$4,$B$46,1))</f>
        <v/>
      </c>
    </row>
    <row r="59">
      <c r="A59" s="4" t="inlineStr">
        <is>
          <t>hook_names_beneficiary</t>
        </is>
      </c>
      <c r="B59" s="10">
        <f>IF($B$22="",FALSE,ISNUMBER(SEARCH($B$22,$B$36)))</f>
        <v/>
      </c>
    </row>
    <row r="60">
      <c r="A60" s="4" t="inlineStr">
        <is>
          <t>opener_names_beneficiary</t>
        </is>
      </c>
      <c r="B60" s="10">
        <f>IF($B$22="",FALSE,ISNUMBER(SEARCH($B$22,$B$38)))</f>
        <v/>
      </c>
    </row>
    <row r="61">
      <c r="A61" s="4" t="inlineStr">
        <is>
          <t>features</t>
        </is>
      </c>
      <c r="B61" s="10">
        <f>$B$28&amp;IF($B$29="","",". "&amp;$B$29)&amp;IF($B$30="","",". "&amp;$B$30)&amp;IF($B$31="","",". "&amp;$B$31)&amp;IF($B$32="","",". "&amp;$B$32)&amp;"."</f>
        <v/>
      </c>
    </row>
    <row r="62" ht="60" customHeight="1">
      <c r="A62" s="4" t="inlineStr">
        <is>
          <t>features_list</t>
        </is>
      </c>
      <c r="B62" s="10">
        <f>"· "&amp;$B$28&amp;IF($B$29="","",CHAR(10)&amp;"· "&amp;$B$29)&amp;IF($B$30="","",CHAR(10)&amp;"· "&amp;$B$30)&amp;IF($B$31="","",CHAR(10)&amp;"· "&amp;$B$31)&amp;IF($B$32="","",CHAR(10)&amp;"· "&amp;$B$32)</f>
        <v/>
      </c>
    </row>
    <row r="63" ht="70" customHeight="1">
      <c r="A63" s="4" t="inlineStr">
        <is>
          <t>features_list_support</t>
        </is>
      </c>
      <c r="B63" s="10">
        <f>$B$62&amp;IF(OR($B$22="",$B$59),"",CHAR(10)&amp;"· Released in support of "&amp;$B$22)</f>
        <v/>
      </c>
    </row>
    <row r="64">
      <c r="A64" s="4" t="inlineStr">
        <is>
          <t>making_ours</t>
        </is>
      </c>
      <c r="B64" s="10">
        <f>SUBSTITUTE($B$39,"printmakers at Make-Ready","our printmakers at Make-Ready")</f>
        <v/>
      </c>
    </row>
    <row r="65">
      <c r="A65" s="4" t="inlineStr">
        <is>
          <t>making_ours_tagged</t>
        </is>
      </c>
      <c r="B65" s="10">
        <f>SUBSTITUTE($B$39,"printmakers at Make-Ready","our printmakers at Make-Ready (@make__ready)")</f>
        <v/>
      </c>
    </row>
    <row r="66">
      <c r="A66" s="4" t="inlineStr">
        <is>
          <t>launch_date</t>
        </is>
      </c>
      <c r="B66" s="10">
        <f>TEXT($B$20,"d mmmm")</f>
        <v/>
      </c>
    </row>
    <row r="67">
      <c r="A67" s="4" t="inlineStr">
        <is>
          <t>launch_time</t>
        </is>
      </c>
      <c r="B67" s="10">
        <f>TEXT($B$20,"hh:mm")&amp;" UK time"</f>
        <v/>
      </c>
    </row>
    <row r="68">
      <c r="A68" s="4" t="inlineStr">
        <is>
          <t>launch_weekday</t>
        </is>
      </c>
      <c r="B68" s="10">
        <f>TEXT($B$20,"dddd")</f>
        <v/>
      </c>
    </row>
    <row r="69">
      <c r="A69" s="4" t="inlineStr">
        <is>
          <t>launch_date_dd</t>
        </is>
      </c>
      <c r="B69" s="10">
        <f>TEXT($B$20,"dd mmmm")</f>
        <v/>
      </c>
    </row>
    <row r="70">
      <c r="A70" s="4" t="inlineStr">
        <is>
          <t>close_date</t>
        </is>
      </c>
      <c r="B70" s="10">
        <f>TEXT($B$21,"d mmmm")</f>
        <v/>
      </c>
    </row>
    <row r="71">
      <c r="A71" s="4" t="inlineStr">
        <is>
          <t>close_time</t>
        </is>
      </c>
      <c r="B71" s="10">
        <f>TEXT($B$21,"hh:mm")&amp;" UK time"</f>
        <v/>
      </c>
    </row>
    <row r="72">
      <c r="A72" s="4" t="inlineStr">
        <is>
          <t>close_weekday</t>
        </is>
      </c>
      <c r="B72" s="10">
        <f>TEXT($B$21,"dddd")</f>
        <v/>
      </c>
    </row>
    <row r="73">
      <c r="A73" s="4" t="inlineStr">
        <is>
          <t>close_date_dd</t>
        </is>
      </c>
      <c r="B73" s="10">
        <f>TEXT($B$21,"dd mmmm")</f>
        <v/>
      </c>
    </row>
    <row r="74">
      <c r="A74" s="4" t="inlineStr">
        <is>
          <t>collect_phrase</t>
        </is>
      </c>
      <c r="B74" s="10">
        <f>SUBSTITUTE($B$15," new "," ",1)</f>
        <v/>
      </c>
    </row>
    <row r="75">
      <c r="A75" s="4" t="inlineStr">
        <is>
          <t>edition_phrase_cap</t>
        </is>
      </c>
      <c r="B75" s="10">
        <f>UPPER(LEFT($B$15,1))&amp;MID($B$15,2,999)</f>
        <v/>
      </c>
    </row>
    <row r="76">
      <c r="A76" s="4" t="inlineStr">
        <is>
          <t>window_cap</t>
        </is>
      </c>
      <c r="B76" s="10">
        <f>UPPER(LEFT($B$19,1))&amp;MID($B$19,2,999)</f>
        <v/>
      </c>
    </row>
    <row r="77">
      <c r="A77" s="4" t="inlineStr">
        <is>
          <t>card</t>
        </is>
      </c>
      <c r="B77" s="10">
        <f>$B$11&amp;IF($B$40="","",CHAR(10)&amp;$B$40)&amp;IF($B$12="","",CHAR(10)&amp;CHAR(10)&amp;"Card: "&amp;$B$12&amp;IF($B$41="","",CHAR(10)&amp;$B$41))&amp;IF($B$13="","",CHAR(10)&amp;CHAR(10)&amp;"Card: "&amp;$B$13&amp;IF($B$42="","",CHAR(10)&amp;$B$42))</f>
        <v/>
      </c>
    </row>
    <row r="78">
      <c r="A78" s="4" t="inlineStr">
        <is>
          <t>quote_line</t>
        </is>
      </c>
      <c r="B78" s="10">
        <f>IF($B$43="","","“"&amp;$B$43&amp;"” – "&amp;$B$4)</f>
        <v/>
      </c>
    </row>
    <row r="79">
      <c r="A79" s="4" t="inlineStr">
        <is>
          <t>each_artwork</t>
        </is>
      </c>
      <c r="B79" s="10">
        <f>IF($B$16&gt;1," for each artwork","")</f>
        <v/>
      </c>
    </row>
    <row r="80">
      <c r="A80" s="4" t="inlineStr">
        <is>
          <t>work_word</t>
        </is>
      </c>
      <c r="B80" s="10">
        <f>IF($B$16&gt;1,"works","work")</f>
        <v/>
      </c>
    </row>
    <row r="81">
      <c r="A81" s="4" t="inlineStr">
        <is>
          <t>add_what</t>
        </is>
      </c>
      <c r="B81" s="10">
        <f>IF($B$16&gt;1,$B$49,$B$52)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SUBSTITUTE(SUBSTITUTE(SUBSTITUTE(B6,"{named}",Inputs!$B$46),"{work}",Inputs!$B$50),"{edition_phrase}",Inputs!$B$15)</f>
        <v/>
      </c>
    </row>
    <row r="7" ht="16" customHeight="1">
      <c r="A7" s="4" t="inlineStr">
        <is>
          <t>post · announce · status, series</t>
        </is>
      </c>
      <c r="B7" s="8" t="inlineStr">
        <is>
          <t>Announcing {edition_phrase} by {named}, from {work}.</t>
        </is>
      </c>
      <c r="C7" s="10">
        <f>SUBSTITUTE(SUBSTITUTE(SUBSTITUTE(B7,"{named}",Inputs!$B$46),"{work}",Inputs!$B$50),"{edition_phrase}",Inputs!$B$15)</f>
        <v/>
      </c>
    </row>
    <row r="8" ht="16" customHeight="1">
      <c r="A8" s="4" t="inlineStr">
        <is>
          <t>post · sustain · status</t>
        </is>
      </c>
      <c r="B8" s="8" t="inlineStr">
        <is>
          <t>A closer look at {work}, {edition_phrase} by {named}.</t>
        </is>
      </c>
      <c r="C8" s="10">
        <f>SUBSTITUTE(SUBSTITUTE(SUBSTITUTE(B8,"{named}",Inputs!$B$46),"{work}",Inputs!$B$50),"{edition_phrase}",Inputs!$B$15)</f>
        <v/>
      </c>
    </row>
    <row r="9" ht="16" customHeight="1">
      <c r="A9" s="4" t="inlineStr">
        <is>
          <t>post · artist's words · status</t>
        </is>
      </c>
      <c r="B9" s="8" t="inlineStr">
        <is>
          <t>“{quote}” – {artist}</t>
        </is>
      </c>
      <c r="C9" s="10">
        <f>SUBSTITUTE(SUBSTITUTE(B9,"{artist}",Inputs!$B$4),"{quote}",Inputs!$B$43)</f>
        <v/>
      </c>
    </row>
    <row r="10" ht="16" customHeight="1">
      <c r="A10" s="4" t="inlineStr">
        <is>
          <t>post · artist's words · second line</t>
        </is>
      </c>
      <c r="B10" s="8" t="inlineStr">
        <is>
          <t>{Work}, {edition_phrase} by {named}.</t>
        </is>
      </c>
      <c r="C10" s="10">
        <f>SUBSTITUTE(SUBSTITUTE(SUBSTITUTE(B10,"{named}",Inputs!$B$46),"{Work}",Inputs!$B$51),"{edition_phrase}",Inputs!$B$15)</f>
        <v/>
      </c>
    </row>
    <row r="11" ht="16" customHeight="1">
      <c r="A11" s="4" t="inlineStr">
        <is>
          <t>post · live · status</t>
        </is>
      </c>
      <c r="B11" s="8" t="inlineStr">
        <is>
          <t>{Work} by {named} is now available to collect, for {window} only.</t>
        </is>
      </c>
      <c r="C11" s="10">
        <f>SUBSTITUTE(SUBSTITUTE(SUBSTITUTE(B11,"{named}",Inputs!$B$46),"{Work}",Inputs!$B$51),"{window}",Inputs!$B$19)</f>
        <v/>
      </c>
    </row>
    <row r="12" ht="16" customHeight="1">
      <c r="A12" s="4" t="inlineStr">
        <is>
          <t>post · still time · status</t>
        </is>
      </c>
      <c r="B12" s="8" t="inlineStr">
        <is>
          <t>There's still time to collect {work} by {named}.</t>
        </is>
      </c>
      <c r="C12" s="10">
        <f>SUBSTITUTE(SUBSTITUTE(B12,"{named}",Inputs!$B$46),"{work}",Inputs!$B$50)</f>
        <v/>
      </c>
    </row>
    <row r="13" ht="16" customHeight="1">
      <c r="A13" s="4" t="inlineStr">
        <is>
          <t>post · last chance · status</t>
        </is>
      </c>
      <c r="B13" s="8" t="inlineStr">
        <is>
          <t>Last chance to collect {work} by {named}.</t>
        </is>
      </c>
      <c r="C13" s="10">
        <f>SUBSTITUTE(SUBSTITUTE(B13,"{named}",Inputs!$B$46),"{work}",Inputs!$B$50)</f>
        <v/>
      </c>
    </row>
    <row r="14" ht="16" customHeight="1">
      <c r="A14" s="4" t="inlineStr">
        <is>
          <t>post · last chance · status, draw</t>
        </is>
      </c>
      <c r="B14" s="8" t="inlineStr">
        <is>
          <t>Last chance to enter the draw for {work} by {named}.</t>
        </is>
      </c>
      <c r="C14" s="10">
        <f>SUBSTITUTE(SUBSTITUTE(B14,"{named}",Inputs!$B$46),"{work}",Inputs!$B$50)</f>
        <v/>
      </c>
    </row>
    <row r="15" ht="16" customHeight="1">
      <c r="A15" s="4" t="inlineStr">
        <is>
          <t>post · features line</t>
        </is>
      </c>
      <c r="B15" s="8" t="inlineStr">
        <is>
          <t>{features}</t>
        </is>
      </c>
      <c r="C15" s="10">
        <f>SUBSTITUTE(B15,"{features}",Inputs!$B$61)</f>
        <v/>
      </c>
    </row>
    <row r="16" ht="16" customHeight="1">
      <c r="A16" s="4" t="inlineStr">
        <is>
          <t>post · beneficiary line</t>
        </is>
      </c>
      <c r="B16" s="8" t="inlineStr">
        <is>
          <t>Released in support of {beneficiary_tagged}.</t>
        </is>
      </c>
      <c r="C16" s="10">
        <f>SUBSTITUTE(B16,"{beneficiary_tagged}",Inputs!$B$57)</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SUBSTITUTE(SUBSTITUTE(SUBSTITUTE(B17,"{window}",Inputs!$B$19),"{launch_date}",Inputs!$B$66),"{launch_time}",Inputs!$B$67)</f>
        <v/>
      </c>
    </row>
    <row r="18" ht="32" customHeight="1">
      <c r="A18" s="4" t="inlineStr">
        <is>
          <t>post · action before launch, draw</t>
        </is>
      </c>
      <c r="B18" s="8" t="inlineStr">
        <is>
          <t>Enter the draw via our link in bio. Closes {close_date} at {close_time}.</t>
        </is>
      </c>
      <c r="C18" s="10">
        <f>SUBSTITUTE(SUBSTITUTE(B18,"{close_date}",Inputs!$B$70),"{close_time}",Inputs!$B$71)</f>
        <v/>
      </c>
    </row>
    <row r="19" ht="16" customHeight="1">
      <c r="A19" s="4" t="inlineStr">
        <is>
          <t>post · action while open, timed</t>
        </is>
      </c>
      <c r="B19" s="8" t="inlineStr">
        <is>
          <t>Link in bio to buy {a_unit}. Closes {close_date} at {close_time}.</t>
        </is>
      </c>
      <c r="C19" s="10">
        <f>SUBSTITUTE(SUBSTITUTE(SUBSTITUTE(B19,"{a_unit}",Inputs!$B$49),"{close_date}",Inputs!$B$70),"{close_time}",Inputs!$B$71)</f>
        <v/>
      </c>
    </row>
    <row r="20" ht="32" customHeight="1">
      <c r="A20" s="4" t="inlineStr">
        <is>
          <t>post · action while open, draw</t>
        </is>
      </c>
      <c r="B20" s="8" t="inlineStr">
        <is>
          <t>Enter the draw via our link in bio. Closes {close_date} at {close_time}.</t>
        </is>
      </c>
      <c r="C20" s="10">
        <f>SUBSTITUTE(SUBSTITUTE(B20,"{close_date}",Inputs!$B$70),"{close_time}",Inputs!$B$71)</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SUBSTITUTE(SUBSTITUTE(B24,"{collab_x}",Inputs!$B$48),"{ordinal}",Inputs!$B$10)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SUBSTITUTE(SUBSTITUTE(SUBSTITUTE(SUBSTITUTE(B26,"{named_x}",Inputs!$B$47),"{work}",Inputs!$B$50),"{tweet_beneficiary}",Inputs!$B$56),"{edition_phrase}",Inputs!$B$15)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SUBSTITUTE(SUBSTITUTE(SUBSTITUTE(SUBSTITUTE(B27,"{named_x}",Inputs!$B$47),"{work}",Inputs!$B$50),"{tweet_beneficiary}",Inputs!$B$56),"{edition_phrase}",Inputs!$B$15)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SUBSTITUTE(SUBSTITUTE(SUBSTITUTE(SUBSTITUTE(B28,"{link}",Inputs!$B$8),"{window}",Inputs!$B$19),"{launch_date}",Inputs!$B$66),"{launch_time}",Inputs!$B$67)</f>
        <v/>
      </c>
    </row>
    <row r="29" ht="16" customHeight="1">
      <c r="A29" s="4" t="inlineStr">
        <is>
          <t>tweet · action, draw</t>
        </is>
      </c>
      <c r="B29" s="8" t="inlineStr">
        <is>
          <t>Closes {close_date} at {close_time}. Enter the draw: {link}</t>
        </is>
      </c>
      <c r="C29" s="10">
        <f>SUBSTITUTE(SUBSTITUTE(SUBSTITUTE(B29,"{link}",Inputs!$B$8),"{close_date}",Inputs!$B$70),"{close_time}",Inputs!$B$71)</f>
        <v/>
      </c>
    </row>
    <row r="30" ht="16" customHeight="1">
      <c r="A30" s="4" t="inlineStr">
        <is>
          <t>tweet · action while open, timed</t>
        </is>
      </c>
      <c r="B30" s="8" t="inlineStr">
        <is>
          <t>Closes {close_date} at {close_time}. Buy {a_unit}: {link}</t>
        </is>
      </c>
      <c r="C30" s="10">
        <f>SUBSTITUTE(SUBSTITUTE(SUBSTITUTE(SUBSTITUTE(B30,"{link}",Inputs!$B$8),"{a_unit}",Inputs!$B$49),"{close_date}",Inputs!$B$70),"{close_time}",Inputs!$B$71)</f>
        <v/>
      </c>
    </row>
    <row r="31">
      <c r="A31" s="3" t="inlineStr">
        <is>
          <t>EMAILS · shared</t>
        </is>
      </c>
    </row>
    <row r="32" ht="16" customHeight="1">
      <c r="A32" s="4" t="inlineStr">
        <is>
          <t>email · greeting</t>
        </is>
      </c>
      <c r="B32" s="8" t="inlineStr">
        <is>
          <t>Hi {{ personalization_token('contact.firstname', 'there') }},</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SUBSTITUTE(SUBSTITUTE(B34,"{close_date}",Inputs!$B$70),"{close_time}",Inputs!$B$71)</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SUBSTITUTE(SUBSTITUTE(B36,"{artist}",Inputs!$B$4),"{a_unit}",Inputs!$B$49)</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SUBSTITUTE(SUBSTITUTE(B40,"{artist}",Inputs!$B$4),"{edition_phrase_cap}",Inputs!$B$75)</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SUBSTITUTE(SUBSTITUTE(SUBSTITUTE(SUBSTITUTE(B41,"{collab_with}",Inputs!$B$5),"{work_intro}",Inputs!$B$54),"{support}",Inputs!$B$55),"{ordinal}",Inputs!$B$10)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SUBSTITUTE(SUBSTITUTE(SUBSTITUTE(SUBSTITUTE(B42,"{window}",Inputs!$B$19),"{launch_time}",Inputs!$B$67),"{launch_weekday}",Inputs!$B$68),"{launch_date_dd}",Inputs!$B$69)</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32" customHeight="1">
      <c r="A45" s="4" t="inlineStr">
        <is>
          <t>email · welcome · 1</t>
        </is>
      </c>
      <c r="B45" s="8" t="inlineStr">
        <is>
          <t>Welcome {{ personalization_token('contact.firstname', 'to Avant Arte') }}!</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SUBSTITUTE(SUBSTITUTE(SUBSTITUTE(SUBSTITUTE(B50,"{collab_with}",Inputs!$B$5),"{ordinal}",Inputs!$B$10),"{window}",Inputs!$B$19),"{launch_time}",Inputs!$B$67)</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SUBSTITUTE(SUBSTITUTE(SUBSTITUTE(SUBSTITUTE(B54,"{collab_with}",Inputs!$B$5),"{work_intro}",Inputs!$B$54),"{support}",Inputs!$B$55),"{ordinal}",Inputs!$B$10)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SUBSTITUTE(B55,"{launch_date}",Inputs!$B$66)</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SUBSTITUTE(SUBSTITUTE(SUBSTITUTE(SUBSTITUTE(B57,"{collab_with}",Inputs!$B$5),"{work_intro}",Inputs!$B$54),"{support}",Inputs!$B$55),"{ordinal}",Inputs!$B$10)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SUBSTITUTE(B58,"{launch_date}",Inputs!$B$66)</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SUBSTITUTE(SUBSTITUTE(B59,"{window}",Inputs!$B$19),"{launch_time}",Inputs!$B$67)</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SUBSTITUTE(SUBSTITUTE(SUBSTITUTE(SUBSTITUTE(SUBSTITUTE(B64,"{collab_with}",Inputs!$B$5),"{work_intro}",Inputs!$B$54),"{support}",Inputs!$B$55),"{ordinal}",Inputs!$B$10),"{window}",Inputs!$B$19)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SUBSTITUTE(SUBSTITUTE(SUBSTITUTE(SUBSTITUTE(B65,"{close_time}",Inputs!$B$71),"{close_weekday}",Inputs!$B$72),"{close_date_dd}",Inputs!$B$73),"{add_what}",Inputs!$B$81)</f>
        <v/>
      </c>
    </row>
    <row r="66" ht="16" customHeight="1">
      <c r="A66" s="4" t="inlineStr">
        <is>
          <t>email · halfway · headline</t>
        </is>
      </c>
      <c r="B66" s="8" t="inlineStr">
        <is>
          <t>24 hours down, 24 to go</t>
        </is>
      </c>
      <c r="C66" s="10">
        <f>B66</f>
        <v/>
      </c>
    </row>
    <row r="67" ht="16" customHeight="1">
      <c r="A67" s="4" t="inlineStr">
        <is>
          <t>email · halfway · footer</t>
        </is>
      </c>
      <c r="B67" s="8" t="inlineStr">
        <is>
          <t>There's still time to add {a_unit} to your collection.</t>
        </is>
      </c>
      <c r="C67" s="10">
        <f>SUBSTITUTE(B67,"{a_unit}",Inputs!$B$49)</f>
        <v/>
      </c>
    </row>
    <row r="68" ht="16" customHeight="1">
      <c r="A68" s="4" t="inlineStr">
        <is>
          <t>email · 5 days · headline</t>
        </is>
      </c>
      <c r="B68" s="8" t="inlineStr">
        <is>
          <t>2 days down, 5 days to go</t>
        </is>
      </c>
      <c r="C68" s="10">
        <f>B68</f>
        <v/>
      </c>
    </row>
    <row r="69" ht="16" customHeight="1">
      <c r="A69" s="4" t="inlineStr">
        <is>
          <t>email · 3 days · headline</t>
        </is>
      </c>
      <c r="B69" s="8" t="inlineStr">
        <is>
          <t>Three days left to collect</t>
        </is>
      </c>
      <c r="C69" s="10">
        <f>B69</f>
        <v/>
      </c>
    </row>
    <row r="70" ht="32" customHeight="1">
      <c r="A70" s="4" t="inlineStr">
        <is>
          <t>email · 3 days · 1</t>
        </is>
      </c>
      <c r="B70" s="8" t="inlineStr">
        <is>
          <t>There are just three days left to collect {collect_phrase} by {artist}.</t>
        </is>
      </c>
      <c r="C70" s="10">
        <f>SUBSTITUTE(SUBSTITUTE(B70,"{artist}",Inputs!$B$4),"{collect_phrase}",Inputs!$B$74)</f>
        <v/>
      </c>
    </row>
    <row r="71" ht="32" customHeight="1">
      <c r="A71" s="4" t="inlineStr">
        <is>
          <t>email · 3 days · 2</t>
        </is>
      </c>
      <c r="B71" s="8" t="inlineStr">
        <is>
          <t>Click the link to collect before {close_time} on {close_weekday}, {close_date_dd}.</t>
        </is>
      </c>
      <c r="C71" s="10">
        <f>SUBSTITUTE(SUBSTITUTE(SUBSTITUTE(B71,"{close_time}",Inputs!$B$71),"{close_weekday}",Inputs!$B$72),"{close_date_dd}",Inputs!$B$73)</f>
        <v/>
      </c>
    </row>
    <row r="72" ht="16" customHeight="1">
      <c r="A72" s="4" t="inlineStr">
        <is>
          <t>email · days to go · footer</t>
        </is>
      </c>
      <c r="B72" s="8" t="inlineStr">
        <is>
          <t>Add {a_unit} to your collection</t>
        </is>
      </c>
      <c r="C72" s="10">
        <f>SUBSTITUTE(B72,"{a_unit}",Inputs!$B$49)</f>
        <v/>
      </c>
    </row>
    <row r="73">
      <c r="A73" s="3" t="inlineStr">
        <is>
          <t>EMAILS · last chance</t>
        </is>
      </c>
    </row>
    <row r="74" ht="48" customHeight="1">
      <c r="A74" s="4" t="inlineStr">
        <is>
          <t>email · last chance, timed · 1</t>
        </is>
      </c>
      <c r="B74" s="8" t="inlineStr">
        <is>
          <t>It's now or never for our {ordinal} collaboration with {collab_with} – {collect_phrase} will be available to order until {close_time} on {close_weekday}, {close_date_dd}.</t>
        </is>
      </c>
      <c r="C74" s="10">
        <f>SUBSTITUTE(SUBSTITUTE(SUBSTITUTE(SUBSTITUTE(SUBSTITUTE(SUBSTITUTE(B74,"{collab_with}",Inputs!$B$5),"{collect_phrase}",Inputs!$B$74),"{ordinal}",Inputs!$B$10),"{close_time}",Inputs!$B$71),"{close_weekday}",Inputs!$B$72),"{close_date_dd}",Inputs!$B$73)</f>
        <v/>
      </c>
    </row>
    <row r="75" ht="32" customHeight="1">
      <c r="A75" s="4" t="inlineStr">
        <is>
          <t>email · last chance, timed · 2</t>
        </is>
      </c>
      <c r="B75" s="8" t="inlineStr">
        <is>
          <t>After this time, the edition size{each_artwork} will be confirmed, and the {work_word} will no longer be available to purchase.</t>
        </is>
      </c>
      <c r="C75" s="10">
        <f>SUBSTITUTE(SUBSTITUTE(B75,"{each_artwork}",Inputs!$B$79),"{work_word}",Inputs!$B$80)</f>
        <v/>
      </c>
    </row>
    <row r="76" ht="32" customHeight="1">
      <c r="A76" s="4" t="inlineStr">
        <is>
          <t>email · last chance, draw · 1</t>
        </is>
      </c>
      <c r="B76" s="8" t="inlineStr">
        <is>
          <t>This is your final opportunity to enter the draw for {work_email}, {collect_phrase} by {artist}.</t>
        </is>
      </c>
      <c r="C76" s="10">
        <f>SUBSTITUTE(SUBSTITUTE(SUBSTITUTE(B76,"{artist}",Inputs!$B$4),"{work_email}",Inputs!$B$52),"{collect_phrase}",Inputs!$B$74)</f>
        <v/>
      </c>
    </row>
    <row r="77" ht="32" customHeight="1">
      <c r="A77" s="4" t="inlineStr">
        <is>
          <t>email · last chance, draw · 2</t>
        </is>
      </c>
      <c r="B77" s="8" t="inlineStr">
        <is>
          <t>For a chance to collect, click the link below to enter the draw. The draw closes at {close_time} on {close_weekday}, {close_date_dd}.</t>
        </is>
      </c>
      <c r="C77" s="10">
        <f>SUBSTITUTE(SUBSTITUTE(SUBSTITUTE(B77,"{close_time}",Inputs!$B$71),"{close_weekday}",Inputs!$B$72),"{close_date_dd}",Inputs!$B$73)</f>
        <v/>
      </c>
    </row>
    <row r="78">
      <c r="A78" s="3" t="inlineStr">
        <is>
          <t>EMAILS · surveys (LE)</t>
        </is>
      </c>
    </row>
    <row r="79" ht="16" customHeight="1">
      <c r="A79" s="4" t="inlineStr">
        <is>
          <t>email · first-time survey · subject</t>
        </is>
      </c>
      <c r="B79" s="8" t="inlineStr">
        <is>
          <t>Congratulations on your first Avant Arte edition</t>
        </is>
      </c>
      <c r="C79" s="10">
        <f>B79</f>
        <v/>
      </c>
    </row>
    <row r="80" ht="32" customHeight="1">
      <c r="A80" s="4" t="inlineStr">
        <is>
          <t>email · first-time survey · 1</t>
        </is>
      </c>
      <c r="B80" s="8" t="inlineStr">
        <is>
          <t>Thank you for adding our collaboration with {collab_with} to your collection. Great choice!</t>
        </is>
      </c>
      <c r="C80" s="10">
        <f>SUBSTITUTE(B80,"{collab_with}",Inputs!$B$5)</f>
        <v/>
      </c>
    </row>
    <row r="81" ht="48" customHeight="1">
      <c r="A81" s="4" t="inlineStr">
        <is>
          <t>email · first-time survey · 2</t>
        </is>
      </c>
      <c r="B81" s="8" t="inlineStr">
        <is>
          <t>I'm {advisor}, an art advisor at Avant Arte. I'm here to connect collectors with artists by making suggestions, answering questions and offering early access to our collaborations.</t>
        </is>
      </c>
      <c r="C81" s="10">
        <f>SUBSTITUTE(B81,"{advisor}",Inputs!$B$24)</f>
        <v/>
      </c>
    </row>
    <row r="82" ht="32" customHeight="1">
      <c r="A82" s="4" t="inlineStr">
        <is>
          <t>email · first-time survey · 3</t>
        </is>
      </c>
      <c r="B82" s="8" t="inlineStr">
        <is>
          <t>If you have two minutes to complete a short survey about your collecting journey to date, your responses will help guide my recommendations.</t>
        </is>
      </c>
      <c r="C82" s="10">
        <f>B82</f>
        <v/>
      </c>
    </row>
    <row r="83" ht="16" customHeight="1">
      <c r="A83" s="4" t="inlineStr">
        <is>
          <t>email · first-time survey · 4</t>
        </is>
      </c>
      <c r="B83" s="8" t="inlineStr">
        <is>
          <t>Any questions? Reply to this email.</t>
        </is>
      </c>
      <c r="C83" s="10">
        <f>B83</f>
        <v/>
      </c>
    </row>
    <row r="84" ht="48" customHeight="1">
      <c r="A84" s="4" t="inlineStr">
        <is>
          <t>email · non-purchaser survey · 1</t>
        </is>
      </c>
      <c r="B84" s="8" t="inlineStr">
        <is>
          <t>As someone who registered for updates but ultimately decided not to enter the draw for our collaboration with {collab_with}, we'd love your feedback.</t>
        </is>
      </c>
      <c r="C84" s="10">
        <f>SUBSTITUTE(B84,"{collab_with}",Inputs!$B$5)</f>
        <v/>
      </c>
    </row>
    <row r="85" ht="32" customHeight="1">
      <c r="A85" s="4" t="inlineStr">
        <is>
          <t>email · non-purchaser survey · 2</t>
        </is>
      </c>
      <c r="B85" s="8" t="inlineStr">
        <is>
          <t>This two-minute survey will guide our future collaborations and help us recommend the right artists and editions for your collection.</t>
        </is>
      </c>
      <c r="C85" s="10">
        <f>B85</f>
        <v/>
      </c>
    </row>
    <row r="86" ht="48" customHeight="1">
      <c r="A86" s="4" t="inlineStr">
        <is>
          <t>email · non-purchaser survey · 3</t>
        </is>
      </c>
      <c r="B86" s="8" t="inlineStr">
        <is>
          <t>As a thank you for taking part in the survey and helping us improve the collector experience, you'll be entered into a draw to win a €500 Avant Arte gift card.</t>
        </is>
      </c>
      <c r="C86" s="10">
        <f>B86</f>
        <v/>
      </c>
    </row>
    <row r="87" ht="16" customHeight="1">
      <c r="A87" s="4" t="inlineStr">
        <is>
          <t>email · non-purchaser survey · terms</t>
        </is>
      </c>
      <c r="B87" s="8" t="inlineStr">
        <is>
          <t>You can read the terms here.</t>
        </is>
      </c>
      <c r="C87" s="10">
        <f>B87</f>
        <v/>
      </c>
    </row>
    <row r="88" ht="16" customHeight="1">
      <c r="A88" s="4" t="inlineStr">
        <is>
          <t>email · non-purchaser survey · footer</t>
        </is>
      </c>
      <c r="B88" s="8" t="inlineStr">
        <is>
          <t>What can we do better?</t>
        </is>
      </c>
      <c r="C88" s="10">
        <f>B88</f>
        <v/>
      </c>
    </row>
    <row r="89">
      <c r="A89" s="3" t="inlineStr">
        <is>
          <t>EMAILS · monthly preview</t>
        </is>
      </c>
    </row>
    <row r="90" ht="16" customHeight="1">
      <c r="A90" s="4" t="inlineStr">
        <is>
          <t>email · monthly preview · opener</t>
        </is>
      </c>
      <c r="B90" s="8" t="inlineStr">
        <is>
          <t>From {collab_with} comes {work_intro}{support}.</t>
        </is>
      </c>
      <c r="C90" s="10">
        <f>SUBSTITUTE(SUBSTITUTE(SUBSTITUTE(B90,"{collab_with}",Inputs!$B$5),"{work_intro}",Inputs!$B$54),"{support}",Inputs!$B$55)</f>
        <v/>
      </c>
    </row>
    <row r="91" ht="32" customHeight="1">
      <c r="A91" s="4" t="inlineStr">
        <is>
          <t>email · monthly preview · when, draw</t>
        </is>
      </c>
      <c r="B91" s="8" t="inlineStr">
        <is>
          <t>The edition will be allocated by a randomised draw, which closes at {close_time} on {close_date}.</t>
        </is>
      </c>
      <c r="C91" s="10">
        <f>SUBSTITUTE(SUBSTITUTE(B91,"{close_date}",Inputs!$B$70),"{close_time}",Inputs!$B$71)</f>
        <v/>
      </c>
    </row>
    <row r="92" ht="32" customHeight="1">
      <c r="A92" s="4" t="inlineStr">
        <is>
          <t>email · monthly preview · when, timed</t>
        </is>
      </c>
      <c r="B92" s="8" t="inlineStr">
        <is>
          <t>The edition will be available to collect for {window} only, from {launch_time} on {launch_weekday}, {launch_date_dd}.</t>
        </is>
      </c>
      <c r="C92" s="10">
        <f>SUBSTITUTE(SUBSTITUTE(SUBSTITUTE(SUBSTITUTE(B92,"{window}",Inputs!$B$19),"{launch_time}",Inputs!$B$67),"{launch_weekday}",Inputs!$B$68),"{launch_date_dd}",Inputs!$B$69)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Inputs!$B$58</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Lines!$C$15&amp;IF(Inputs!$B$59,"",IF(Inputs!$B$57="","","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Inputs!$B$65</f>
        <v/>
      </c>
      <c r="G6" s="11">
        <f>Lines!$C$15&amp;IF(Inputs!$B$57="","","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IF(Inputs!$B$43="","(no quote given, post skipped)",Lines!$C$9)</f>
        <v/>
      </c>
      <c r="F7" s="11">
        <f>IF(Inputs!$B$43="","",Lines!$C$10)</f>
        <v/>
      </c>
      <c r="G7" s="11">
        <f>IF(Inputs!$B$43="","",Lines!$C$15&amp;IF(Inputs!$B$57="",""," "&amp;Lines!$C$16))</f>
        <v/>
      </c>
      <c r="H7" s="11">
        <f>IF(Inputs!$B$43="","",IF(Inputs!$B$18="draw",Lines!$C$18,Lines!$C$17))</f>
        <v/>
      </c>
      <c r="I7" s="11">
        <f>""</f>
        <v/>
      </c>
      <c r="J7" s="11">
        <f>IF(Inputs!$B$43="","(no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IF(Inputs!$B$18="draw","",Lines!$C$15&amp;IF(Inputs!$B$57="","","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IF(Inputs!$B$18="draw","",Lines!$C$15&amp;IF(Inputs!$B$57="","","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Lines!$C$15&amp;IF(Inputs!$B$57="","","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draw)",SUBSTITUTE(Lines!$C$11,Inputs!$B$46,Inputs!$B$47))</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draw)",SUBSTITUTE(Lines!$C$12,Inputs!$B$46,Inputs!$B$47))</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IF(Inputs!$B$18="draw",SUBSTITUTE(Lines!$C$14,Inputs!$B$46,Inputs!$B$47),SUBSTITUTE(Lines!$C$13,Inputs!$B$46,Inputs!$B$47))</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"&amp;Inputs!$B$70&amp;".","Launching "&amp;Inputs!$B$66&amp;". Register for updates."))</f>
        <v/>
      </c>
      <c r="G4" s="11">
        <f>IF($D4&lt;&gt;"yes","",IF(Inputs!$B$18="draw","Enter the draw","Launching "&amp;Inputs!$B$66))</f>
        <v/>
      </c>
      <c r="H4" s="11">
        <f>IF($D4&lt;&gt;"yes","",IF(Inputs!$B$18="draw",Inputs!$B$53,Inputs!$B$53&amp;" by "&amp;Inputs!$B$4))</f>
        <v/>
      </c>
      <c r="I4" s="11">
        <f>IF($D4&lt;&gt;"yes","",(IF(Inputs!$B$38="",Lines!$C$41,Inputs!$B$38)&amp;IF(Inputs!$B$36="","",CHAR(10)&amp;CHAR(10)&amp;Inputs!$B$36)&amp;IF(Inputs!$B$64="","",CHAR(10)&amp;CHAR(10)&amp;Inputs!$B$64)&amp;IF(IF(OR(Inputs!$B$38="",Inputs!$B$60),Inputs!$B$62,Inputs!$B$63)="","",CHAR(10)&amp;CHAR(10)&amp;IF(OR(Inputs!$B$38="",Inputs!$B$60),Inputs!$B$62,Inputs!$B$63))&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IF($D4&lt;&gt;"yes","",Inputs!$B$77)</f>
        <v/>
      </c>
      <c r="L4" s="11">
        <f>IF($D4&lt;&gt;"yes","",Inputs!$B$78)</f>
        <v/>
      </c>
      <c r="M4" s="11">
        <f>IF($D4&lt;&gt;"yes","",IF(Inputs!$B$18="draw","Collect "&amp;Inputs!$B$74,"Launching "&amp;Inputs!$B$66))</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$63="","",CHAR(10)&amp;CHAR(10)&amp;Inputs!$B$63)&amp;IF(Lines!$C$51="","",CHAR(10)&amp;CHAR(10)&amp;Lines!$C$51)&amp;IF(IF(Inputs!$B$26="","",Lines!$C$37)="","",CHAR(10)&amp;CHAR(10)&amp;IF(Inputs!$B$26="","",Lines!$C$37))&amp;IF(Lines!$C$53="","",CHAR(10)&amp;CHAR(10)&amp;Lines!$C$53)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$63="","",CHAR(10)&amp;CHAR(10)&amp;Inputs!$B$63)&amp;IF(Lines!$C$52="","",CHAR(10)&amp;CHAR(10)&amp;Lines!$C$52)&amp;IF(Lines!$C$53="","",CHAR(10)&amp;CHAR(10)&amp;Lines!$C$53)&amp;IF(Lines!$C$35="","",CHAR(10)&amp;CHAR(10)&amp;Lines!$C$35)&amp;IF(Lines!$C$33="","",CHAR(10)&amp;CHAR(10)&amp;Lines!$C$33)))</f>
        <v/>
      </c>
      <c r="J7" s="11">
        <f>IF($D7&lt;&gt;"yes","","Unlock early access")</f>
        <v/>
      </c>
      <c r="K7" s="11">
        <f>IF($D7&lt;&gt;"yes","",Inputs!$B$77)</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IF($D8&lt;&gt;"yes","",Inputs!$B$77)</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IF($D9&lt;&gt;"yes","",Inputs!$B$77)</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IF($D10&lt;&gt;"yes","",Inputs!$B$76&amp;", starting now.")</f>
        <v/>
      </c>
      <c r="G10" s="11">
        <f>IF($D10&lt;&gt;"yes","",Lines!$C$36)</f>
        <v/>
      </c>
      <c r="H10" s="11">
        <f>IF($D10&lt;&gt;"yes","",Inputs!$B$76&amp;", starting now")</f>
        <v/>
      </c>
      <c r="I10" s="11">
        <f>IF($D10&lt;&gt;"yes","",(Lines!$C$64&amp;IF(Inputs!$B$36="","",CHAR(10)&amp;CHAR(10)&amp;Inputs!$B$36)&amp;IF(Inputs!$B$64="","",CHAR(10)&amp;CHAR(10)&amp;Inputs!$B$64)&amp;IF(Inputs!$B$63="","",CHAR(10)&amp;CHAR(10)&amp;Inputs!$B$63)&amp;IF(Lines!$C$65="","",CHAR(10)&amp;CHAR(10)&amp;Lines!$C$65)&amp;IF(IF(Inputs!$B$26="","",Lines!$C$37)="","",CHAR(10)&amp;CHAR(10)&amp;IF(Inputs!$B$26="","",Lines!$C$37))))</f>
        <v/>
      </c>
      <c r="J10" s="11">
        <f>IF($D10&lt;&gt;"yes","","Buy now")</f>
        <v/>
      </c>
      <c r="K10" s="11">
        <f>IF($D10&lt;&gt;"yes","",Inputs!$B$77)</f>
        <v/>
      </c>
      <c r="L10" s="11">
        <f>IF($D10&lt;&gt;"yes","",Inputs!$B$78)</f>
        <v/>
      </c>
      <c r="M10" s="11">
        <f>IF($D10&lt;&gt;"yes","","Collect "&amp;Inputs!$B$74)</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IF($D11&lt;&gt;"yes","",Lines!$C$67)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IF($D12&lt;&gt;"yes","",Lines!$C$68)</f>
        <v/>
      </c>
      <c r="I12" s="11">
        <f>""</f>
        <v/>
      </c>
      <c r="J12" s="11">
        <f>IF($D12&lt;&gt;"yes","","Buy "&amp;Inputs!$B$49)</f>
        <v/>
      </c>
      <c r="K12" s="11">
        <f>""</f>
        <v/>
      </c>
      <c r="L12" s="11">
        <f>""</f>
        <v/>
      </c>
      <c r="M12" s="11">
        <f>IF($D12&lt;&gt;"yes","",Lines!$C$72)</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IF($D13&lt;&gt;"yes","",Inputs!$B$53&amp;" by "&amp;Inputs!$B$4)</f>
        <v/>
      </c>
      <c r="H13" s="11">
        <f>IF($D13&lt;&gt;"yes","",Lines!$C$69)</f>
        <v/>
      </c>
      <c r="I13" s="11">
        <f>IF($D13&lt;&gt;"yes","",(Lines!$C$70&amp;IF(Inputs!$B$36="","",CHAR(10)&amp;CHAR(10)&amp;Inputs!$B$36)&amp;IF(Lines!$C$71="","",CHAR(10)&amp;CHAR(10)&amp;Lines!$C$71)&amp;IF(IF(Inputs!$B$26="","",Lines!$C$38)="","",CHAR(10)&amp;CHAR(10)&amp;IF(Inputs!$B$26="","",Lines!$C$38))))</f>
        <v/>
      </c>
      <c r="J13" s="11">
        <f>IF($D13&lt;&gt;"yes","","Buy "&amp;Inputs!$B$49)</f>
        <v/>
      </c>
      <c r="K13" s="11">
        <f>IF($D13&lt;&gt;"yes","",Inputs!$B$77)</f>
        <v/>
      </c>
      <c r="L13" s="11">
        <f>""</f>
        <v/>
      </c>
      <c r="M13" s="11">
        <f>IF($D13&lt;&gt;"yes","",Lines!$C$72)</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"&amp;Inputs!$B$71&amp;" on "&amp;Inputs!$B$70&amp;".","Time is almost up."))</f>
        <v/>
      </c>
      <c r="G14" s="11">
        <f>IF($D14&lt;&gt;"yes","",Inputs!$B$4)</f>
        <v/>
      </c>
      <c r="H14" s="11">
        <f>IF($D14&lt;&gt;"yes","",IF(Inputs!$B$18="draw","Last chance to enter the draw","Last chance to collect"))</f>
        <v/>
      </c>
      <c r="I14" s="11">
        <f>IF($D14&lt;&gt;"yes","",IF(Inputs!$B$18="draw",(Lines!$C$76&amp;IF(Inputs!$B$36="","",CHAR(10)&amp;CHAR(10)&amp;Inputs!$B$36)&amp;IF(Lines!$C$77="","",CHAR(10)&amp;CHAR(10)&amp;Lines!$C$77)),(Lines!$C$74&amp;IF(Lines!$C$75="","",CHAR(10)&amp;CHAR(10)&amp;Lines!$C$75)&amp;IF(IF(Inputs!$B$26="","",Lines!$C$38)="","",CHAR(10)&amp;CHAR(10)&amp;IF(Inputs!$B$26="","",Lines!$C$38)))))</f>
        <v/>
      </c>
      <c r="J14" s="11">
        <f>IF($D14&lt;&gt;"yes","",IF(Inputs!$B$18="draw","Enter the draw","Buy now"))</f>
        <v/>
      </c>
      <c r="K14" s="11">
        <f>IF($D14&lt;&gt;"yes","",Inputs!$B$77)</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IF($D15&lt;&gt;"yes","",Lines!$C$79)</f>
        <v/>
      </c>
      <c r="F15" s="11">
        <f>""</f>
        <v/>
      </c>
      <c r="G15" s="11">
        <f>""</f>
        <v/>
      </c>
      <c r="H15" s="11">
        <f>""</f>
        <v/>
      </c>
      <c r="I15" s="11">
        <f>IF($D15&lt;&gt;"yes","",(Lines!$C$32&amp;IF(Lines!$C$80="","",CHAR(10)&amp;CHAR(10)&amp;Lines!$C$80)&amp;IF(Lines!$C$81="","",CHAR(10)&amp;CHAR(10)&amp;Lines!$C$81)&amp;IF(Lines!$C$82="","",CHAR(10)&amp;CHAR(10)&amp;Lines!$C$82)&amp;IF(Lines!$C$83="","",CHAR(10)&amp;CHAR(10)&amp;Lines!$C$83)))</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IF($D16&lt;&gt;"yes","",(Lines!$C$84&amp;IF(Lines!$C$85="","",CHAR(10)&amp;CHAR(10)&amp;Lines!$C$85)&amp;IF(Lines!$C$86="","",CHAR(10)&amp;CHAR(10)&amp;Lines!$C$86)&amp;IF(Lines!$C$87="","",CHAR(10)&amp;CHAR(10)&amp;Lines!$C$87)))</f>
        <v/>
      </c>
      <c r="J16" s="11">
        <f>IF($D16&lt;&gt;"yes","","Complete survey")</f>
        <v/>
      </c>
      <c r="K16" s="11">
        <f>""</f>
        <v/>
      </c>
      <c r="L16" s="11">
        <f>""</f>
        <v/>
      </c>
      <c r="M16" s="11">
        <f>IF($D16&lt;&gt;"yes","",Lines!$C$88)</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$90&amp;IF(Inputs!$B$36="","",CHAR(10)&amp;CHAR(10)&amp;Inputs!$B$36)&amp;IF(Inputs!$B$64="","",CHAR(10)&amp;CHAR(10)&amp;Inputs!$B$64)&amp;IF(IF(Inputs!$B$18="draw",Lines!$C$91,Lines!$C$92)="","",CHAR(10)&amp;CHAR(10)&amp;IF(Inputs!$B$18="draw",Lines!$C$91,Lines!$C$92))))</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2026-09-16T17:51:21Z</dcterms:created>
  <dcterms:modified xsi:type="dcterms:W3CDTF">2026-09-16T17:51:21Z</dcterms:modified>
</cp:coreProperties>
</file>