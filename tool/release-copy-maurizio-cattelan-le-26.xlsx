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Lines" sheetId="2" state="visible" r:id="rId2"/>
    <sheet name="Posts" sheetId="3" state="visible" r:id="rId3"/>
    <sheet name="Tweets" sheetId="4" state="visible" r:id="rId4"/>
    <sheet name="Emails" sheetId="5" state="visible" r:id="rId5"/>
    <sheet name="Ru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 mmm yyyy hh:mm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0" pivotButton="0" quotePrefix="0" xfId="0"/>
    <xf numFmtId="165" fontId="5" fillId="3" borderId="0" pivotButton="0" quotePrefix="0" xfId="0"/>
    <xf numFmtId="0" fontId="3" fillId="0" borderId="0" pivotButton="0" quotePrefix="0" xfId="0"/>
    <xf numFmtId="0" fontId="5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6"/>
  <sheetViews>
    <sheetView workbookViewId="0">
      <selection activeCell="A1" sqref="A1"/>
    </sheetView>
  </sheetViews>
  <sheetFormatPr baseColWidth="8" defaultRowHeight="15"/>
  <cols>
    <col width="26" customWidth="1" min="1" max="1"/>
    <col width="78" customWidth="1" min="2" max="2"/>
    <col width="62" customWidth="1" min="3" max="3"/>
  </cols>
  <sheetData>
    <row r="1">
      <c r="A1" s="1" t="inlineStr">
        <is>
          <t>One release · inputs</t>
        </is>
      </c>
    </row>
    <row r="2">
      <c r="A2" s="2" t="inlineStr">
        <is>
          <t>Blue cells on yellow are yours to fill. Everything else in this workbook is a formula. Set mechanic to draw to see the LE versions, and window to 48 hours or one week for the TL flow.</t>
        </is>
      </c>
    </row>
    <row r="3">
      <c r="A3" s="3" t="inlineStr">
        <is>
          <t>Field</t>
        </is>
      </c>
      <c r="B3" s="3" t="inlineStr">
        <is>
          <t>Value</t>
        </is>
      </c>
      <c r="C3" s="3" t="inlineStr">
        <is>
          <t>What it is</t>
        </is>
      </c>
    </row>
    <row r="4">
      <c r="A4" s="4" t="inlineStr">
        <is>
          <t>artist</t>
        </is>
      </c>
      <c r="B4" s="5" t="inlineStr">
        <is>
          <t>Maurizio Cattelan</t>
        </is>
      </c>
      <c r="C4" s="2" t="inlineStr">
        <is>
          <t>full name: the works are 'by' this name</t>
        </is>
      </c>
    </row>
    <row r="5">
      <c r="A5" s="4" t="inlineStr">
        <is>
          <t>collab_with</t>
        </is>
      </c>
      <c r="B5" s="5" t="inlineStr">
        <is>
          <t>Italian artist Maurizio Cattelan</t>
        </is>
      </c>
      <c r="C5" s="2" t="inlineStr">
        <is>
          <t>the words after 'collaboration with': usually the name, or the estate</t>
        </is>
      </c>
    </row>
    <row r="6">
      <c r="A6" s="4" t="inlineStr">
        <is>
          <t>handle</t>
        </is>
      </c>
      <c r="B6" s="5" t="inlineStr">
        <is>
          <t>mauriziocattelan</t>
        </is>
      </c>
      <c r="C6" s="2" t="inlineStr">
        <is>
          <t>Instagram handle, blank if none</t>
        </is>
      </c>
    </row>
    <row r="7">
      <c r="A7" s="4" t="inlineStr">
        <is>
          <t>x_handle</t>
        </is>
      </c>
      <c r="B7" s="5" t="inlineStr"/>
      <c r="C7" s="2" t="inlineStr">
        <is>
          <t>X (Twitter) handle, blank if none</t>
        </is>
      </c>
    </row>
    <row r="8">
      <c r="A8" s="4" t="inlineStr">
        <is>
          <t>link</t>
        </is>
      </c>
      <c r="B8" s="5" t="inlineStr">
        <is>
          <t>https://avantarte.co/maurizio-cattelan-x</t>
        </is>
      </c>
      <c r="C8" s="2" t="inlineStr">
        <is>
          <t>the release's short link, for tweets</t>
        </is>
      </c>
    </row>
    <row r="9">
      <c r="A9" s="4" t="inlineStr">
        <is>
          <t>hashtag</t>
        </is>
      </c>
      <c r="B9" s="5" t="inlineStr"/>
      <c r="C9" s="2" t="inlineStr">
        <is>
          <t>announcement post only; blank for none</t>
        </is>
      </c>
    </row>
    <row r="10">
      <c r="A10" s="4" t="inlineStr">
        <is>
          <t>ordinal</t>
        </is>
      </c>
      <c r="B10" s="5" t="inlineStr">
        <is>
          <t>latest</t>
        </is>
      </c>
      <c r="C10" s="2" t="inlineStr">
        <is>
          <t>debut, latest or second</t>
        </is>
      </c>
    </row>
    <row r="11">
      <c r="A11" s="4" t="inlineStr">
        <is>
          <t>title_1</t>
        </is>
      </c>
      <c r="B11" s="5" t="inlineStr">
        <is>
          <t>Window</t>
        </is>
      </c>
      <c r="C11" s="2" t="inlineStr">
        <is>
          <t>exactly as it appears; the set's one title if it has one; for untitled works from a named series, the series name</t>
        </is>
      </c>
    </row>
    <row r="12">
      <c r="A12" s="4" t="inlineStr">
        <is>
          <t>title_2</t>
        </is>
      </c>
      <c r="B12" s="5" t="inlineStr"/>
      <c r="C12" s="2" t="inlineStr">
        <is>
          <t>for a pair or a trio with their own titles; blank otherwise</t>
        </is>
      </c>
    </row>
    <row r="13">
      <c r="A13" s="4" t="inlineStr">
        <is>
          <t>title_3</t>
        </is>
      </c>
      <c r="B13" s="5" t="inlineStr"/>
      <c r="C13" s="2" t="inlineStr">
        <is>
          <t>blank otherwise. More than three titled works: give the set a collective title, or use the templates</t>
        </is>
      </c>
    </row>
    <row r="14">
      <c r="A14" s="4" t="inlineStr">
        <is>
          <t>is_series</t>
        </is>
      </c>
      <c r="B14" s="5" t="inlineStr">
        <is>
          <t>no</t>
        </is>
      </c>
      <c r="C14" s="2" t="inlineStr">
        <is>
          <t>yes only for untitled works from a named series</t>
        </is>
      </c>
    </row>
    <row r="15">
      <c r="A15" s="4" t="inlineStr">
        <is>
          <t>edition_phrase</t>
        </is>
      </c>
      <c r="B15" s="5" t="inlineStr">
        <is>
          <t>a new limited edition print</t>
        </is>
      </c>
      <c r="C15" s="2" t="inlineStr">
        <is>
          <t>e.g. a new limited edition print; a quartet of new limited edition embroideries; a new limited edition print in four colourways</t>
        </is>
      </c>
    </row>
    <row r="16">
      <c r="A16" s="4" t="inlineStr">
        <is>
          <t>works</t>
        </is>
      </c>
      <c r="B16" s="5" t="n">
        <v>1</v>
      </c>
      <c r="C16" s="2" t="inlineStr">
        <is>
          <t>number of artworks: sets the plural wording</t>
        </is>
      </c>
    </row>
    <row r="17">
      <c r="A17" s="4" t="inlineStr">
        <is>
          <t>unit</t>
        </is>
      </c>
      <c r="B17" s="5" t="inlineStr">
        <is>
          <t>print</t>
        </is>
      </c>
      <c r="C17" s="2" t="inlineStr">
        <is>
          <t>what one is called: print, embroidery, sculpture, edition</t>
        </is>
      </c>
    </row>
    <row r="18">
      <c r="A18" s="4" t="inlineStr">
        <is>
          <t>mechanic</t>
        </is>
      </c>
      <c r="B18" s="5" t="inlineStr">
        <is>
          <t>draw</t>
        </is>
      </c>
      <c r="C18" s="2" t="inlineStr">
        <is>
          <t>timed (TL) or draw (LE)</t>
        </is>
      </c>
    </row>
    <row r="19">
      <c r="A19" s="4" t="inlineStr">
        <is>
          <t>window</t>
        </is>
      </c>
      <c r="B19" s="5" t="inlineStr">
        <is>
          <t>48 hours</t>
        </is>
      </c>
      <c r="C19" s="2" t="inlineStr">
        <is>
          <t>48 hours or one week; timed only</t>
        </is>
      </c>
    </row>
    <row r="20">
      <c r="A20" s="4" t="inlineStr">
        <is>
          <t>launch_at</t>
        </is>
      </c>
      <c r="B20" s="6" t="n">
        <v>46048.54166666666</v>
      </c>
      <c r="C20" s="2" t="inlineStr">
        <is>
          <t>date and time the window opens, or the draw opens (UK)</t>
        </is>
      </c>
    </row>
    <row r="21">
      <c r="A21" s="4" t="inlineStr">
        <is>
          <t>closes_at</t>
        </is>
      </c>
      <c r="B21" s="6" t="n">
        <v>46073.70833333334</v>
      </c>
      <c r="C21" s="2" t="inlineStr">
        <is>
          <t>date and time the window or draw closes (UK)</t>
        </is>
      </c>
    </row>
    <row r="22">
      <c r="A22" s="4" t="inlineStr">
        <is>
          <t>beneficiary</t>
        </is>
      </c>
      <c r="B22" s="5" t="inlineStr"/>
      <c r="C22" s="2" t="inlineStr">
        <is>
          <t>as it reads mid-sentence; blank if none</t>
        </is>
      </c>
    </row>
    <row r="23">
      <c r="A23" s="4" t="inlineStr">
        <is>
          <t>beneficiary_handle</t>
        </is>
      </c>
      <c r="B23" s="5" t="inlineStr"/>
      <c r="C23" s="2" t="inlineStr">
        <is>
          <t>blank if none</t>
        </is>
      </c>
    </row>
    <row r="24">
      <c r="A24" s="4" t="inlineStr">
        <is>
          <t>advisor</t>
        </is>
      </c>
      <c r="B24" s="5" t="inlineStr">
        <is>
          <t>Sam</t>
        </is>
      </c>
      <c r="C24" s="2" t="inlineStr">
        <is>
          <t>signs the Insiders email and the first-time collector survey: Sofiya, Curtis or Sam</t>
        </is>
      </c>
    </row>
    <row r="25">
      <c r="A25" s="4" t="inlineStr">
        <is>
          <t>early_access_code</t>
        </is>
      </c>
      <c r="B25" s="5" t="inlineStr">
        <is>
          <t>918-831</t>
        </is>
      </c>
      <c r="C25" s="2" t="inlineStr">
        <is>
          <t>draw releases</t>
        </is>
      </c>
    </row>
    <row r="26">
      <c r="A26" s="4" t="inlineStr">
        <is>
          <t>framing_code</t>
        </is>
      </c>
      <c r="B26" s="5" t="inlineStr"/>
      <c r="C26" s="2" t="inlineStr">
        <is>
          <t>first-purchase framing offer code, e.g. Freud-0426-10; blank for no offer</t>
        </is>
      </c>
    </row>
    <row r="27">
      <c r="A27" s="4" t="inlineStr">
        <is>
          <t>framing_percent</t>
        </is>
      </c>
      <c r="B27" s="5" t="n">
        <v>10</v>
      </c>
      <c r="C27" s="2" t="inlineStr">
        <is>
          <t>10 or 20</t>
        </is>
      </c>
    </row>
    <row r="28">
      <c r="A28" s="4" t="inlineStr">
        <is>
          <t>feature_1</t>
        </is>
      </c>
      <c r="B28" s="5" t="inlineStr">
        <is>
          <t>Signed by the artist</t>
        </is>
      </c>
      <c r="C28" s="2" t="inlineStr">
        <is>
          <t>the standard three; clear a cell to drop it</t>
        </is>
      </c>
    </row>
    <row r="29">
      <c r="A29" s="4" t="inlineStr">
        <is>
          <t>feature_2</t>
        </is>
      </c>
      <c r="B29" s="5" t="inlineStr">
        <is>
          <t>Individually numbered</t>
        </is>
      </c>
      <c r="C29" s="2" t="inlineStr"/>
    </row>
    <row r="30">
      <c r="A30" s="4" t="inlineStr">
        <is>
          <t>feature_3</t>
        </is>
      </c>
      <c r="B30" s="5" t="inlineStr">
        <is>
          <t>Four silkscreen layers with a matte varnish seal</t>
        </is>
      </c>
      <c r="C30" s="2" t="inlineStr"/>
    </row>
    <row r="31">
      <c r="A31" s="4" t="inlineStr">
        <is>
          <t>feature_4</t>
        </is>
      </c>
      <c r="B31" s="5" t="inlineStr">
        <is>
          <t>Free worldwide shipping</t>
        </is>
      </c>
      <c r="C31" s="2" t="inlineStr">
        <is>
          <t>bespoke, e.g. Hand-finished by the artist. Never 'our'.</t>
        </is>
      </c>
    </row>
    <row r="32">
      <c r="A32" s="4" t="inlineStr">
        <is>
          <t>feature_5</t>
        </is>
      </c>
      <c r="B32" s="5" t="inlineStr"/>
      <c r="C32" s="2" t="inlineStr">
        <is>
          <t>bespoke, e.g. Available individually or as a set</t>
        </is>
      </c>
    </row>
    <row r="34">
      <c r="A34" s="7" t="inlineStr">
        <is>
          <t>Fragments, written once per release. Voice-neutral: no we or our, no artist name in the hook or making line.</t>
        </is>
      </c>
    </row>
    <row r="35" ht="48" customHeight="1">
      <c r="A35" s="4" t="inlineStr">
        <is>
          <t>bio</t>
        </is>
      </c>
      <c r="B35" s="8" t="inlineStr">
        <is>
          <t>Maurizio Cattelan is Italy's most provocative living artist, known for satirical sculptures and for Comedian, the duct-taped banana that sold for millions at Art Basel Miami Beach in 2019.</t>
        </is>
      </c>
      <c r="C35" s="9" t="inlineStr">
        <is>
          <t>2 to 3 sentences on the artist, third person, no handle. Coming Soon post only.</t>
        </is>
      </c>
    </row>
    <row r="36" ht="48" customHeight="1">
      <c r="A36" s="4" t="inlineStr">
        <is>
          <t>hook</t>
        </is>
      </c>
      <c r="B36" s="8" t="inlineStr">
        <is>
          <t>Window reimagines Cattelan's legendary Comedian, the duct-taped banana, against hyper-realistic natural landscapes, grounding his provocative symbol in serene compositions of subtly absurd beauty.</t>
        </is>
      </c>
      <c r="C36" s="9" t="inlineStr">
        <is>
          <t>1 to 2 sentences about the work only. Reused in every post and email.</t>
        </is>
      </c>
    </row>
    <row r="37" ht="32" customHeight="1">
      <c r="A37" s="4" t="inlineStr">
        <is>
          <t>qualifier</t>
        </is>
      </c>
      <c r="B37" s="8" t="inlineStr">
        <is>
          <t>, the artist's first print release with Avant Arte</t>
        </is>
      </c>
      <c r="C37" s="9" t="inlineStr">
        <is>
          <t>a few words after the edition phrase in the email opener, e.g. spanning five decades of the artist's career. Ten words at most, a phrase not a sentence, no we or our, no artist name, no beneficiary. Blank for none.</t>
        </is>
      </c>
    </row>
    <row r="38" ht="32" customHeight="1">
      <c r="A38" s="4" t="inlineStr">
        <is>
          <t>making</t>
        </is>
      </c>
      <c r="B38" s="8" t="inlineStr">
        <is>
          <t>Each silkscreen print was produced by printmakers at Make-Ready in four layers, sealed with a matte varnish.</t>
        </is>
      </c>
      <c r="C38" s="9" t="inlineStr">
        <is>
          <t>one sentence on how the edition was made; write 'printmakers at Make-Ready' and the sheet adds 'our'.</t>
        </is>
      </c>
    </row>
    <row r="39" ht="32" customHeight="1">
      <c r="A39" s="4" t="inlineStr">
        <is>
          <t>quote</t>
        </is>
      </c>
      <c r="B39" s="8" t="inlineStr">
        <is>
          <t>A comedian is doomed to make people laugh.</t>
        </is>
      </c>
      <c r="C39" s="9" t="inlineStr">
        <is>
          <t>verbatim, a complete sentence, or blank</t>
        </is>
      </c>
    </row>
    <row r="41">
      <c r="A41" s="7" t="inlineStr">
        <is>
          <t>Derived (formulas, do not edit)</t>
        </is>
      </c>
    </row>
    <row r="42">
      <c r="A42" s="4" t="inlineStr">
        <is>
          <t>named</t>
        </is>
      </c>
      <c r="B42" s="10">
        <f>$B$4&amp;IF($B$6="",""," (@"&amp;$B$6&amp;")")</f>
        <v/>
      </c>
    </row>
    <row r="43">
      <c r="A43" s="4" t="inlineStr">
        <is>
          <t>named_x</t>
        </is>
      </c>
      <c r="B43" s="10">
        <f>$B$4&amp;IF($B$7="",""," (@"&amp;$B$7&amp;")")</f>
        <v/>
      </c>
    </row>
    <row r="44">
      <c r="A44" s="4" t="inlineStr">
        <is>
          <t>collab_x</t>
        </is>
      </c>
      <c r="B44" s="10">
        <f>IF($B$5=$B$4,$B$43,$B$5)</f>
        <v/>
      </c>
    </row>
    <row r="45">
      <c r="A45" s="4" t="inlineStr">
        <is>
          <t>a_unit</t>
        </is>
      </c>
      <c r="B45" s="10">
        <f>IF(OR(LEFT($B$17,1)="a",LEFT($B$17,1)="e",LEFT($B$17,1)="i",LEFT($B$17,1)="o",LEFT($B$17,1)="u"),"an ","a ")&amp;$B$17</f>
        <v/>
      </c>
    </row>
    <row r="46">
      <c r="A46" s="4" t="inlineStr">
        <is>
          <t>work</t>
        </is>
      </c>
      <c r="B46" s="10">
        <f>IF($B$14="yes","the "&amp;$B$11&amp;" series",IF($B$12="","‘"&amp;$B$11&amp;"’",IF($B$13="","‘"&amp;$B$11&amp;"’ and ‘"&amp;$B$12&amp;"’","‘"&amp;$B$11&amp;"’, ‘"&amp;$B$12&amp;"’ and ‘"&amp;$B$13&amp;"’")))</f>
        <v/>
      </c>
    </row>
    <row r="47">
      <c r="A47" s="4" t="inlineStr">
        <is>
          <t>Work</t>
        </is>
      </c>
      <c r="B47" s="10">
        <f>UPPER(LEFT($B$46,1))&amp;MID($B$46,2,999)</f>
        <v/>
      </c>
    </row>
    <row r="48">
      <c r="A48" s="4" t="inlineStr">
        <is>
          <t>work_email</t>
        </is>
      </c>
      <c r="B48" s="10">
        <f>IF($B$14="yes","the "&amp;$B$11&amp;" series",IF($B$12="",$B$11,IF($B$13="",$B$11&amp;" and "&amp;$B$12,$B$11&amp;", "&amp;$B$12&amp;" and "&amp;$B$13)))</f>
        <v/>
      </c>
    </row>
    <row r="49">
      <c r="A49" s="4" t="inlineStr">
        <is>
          <t>Work_email</t>
        </is>
      </c>
      <c r="B49" s="10">
        <f>UPPER(LEFT($B$48,1))&amp;MID($B$48,2,999)</f>
        <v/>
      </c>
    </row>
    <row r="50">
      <c r="A50" s="4" t="inlineStr">
        <is>
          <t>work_intro</t>
        </is>
      </c>
      <c r="B50" s="10">
        <f>IF($B$16=1,$B$11&amp;", ","")&amp;$B$15&amp;IF($B$37="","",IF(LEFT($B$37,1)=",",""," ")&amp;$B$37)</f>
        <v/>
      </c>
    </row>
    <row r="51">
      <c r="A51" s="4" t="inlineStr">
        <is>
          <t>support</t>
        </is>
      </c>
      <c r="B51" s="10">
        <f>IF(OR($B$22="",$B$54),"",", released in support of "&amp;$B$22)</f>
        <v/>
      </c>
    </row>
    <row r="52">
      <c r="A52" s="4" t="inlineStr">
        <is>
          <t>beneficiary_tagged</t>
        </is>
      </c>
      <c r="B52" s="10">
        <f>IF($B$22="","",$B$22&amp;IF($B$23="",""," (@"&amp;$B$23&amp;")"))</f>
        <v/>
      </c>
    </row>
    <row r="53" ht="80" customHeight="1">
      <c r="A53" s="4" t="inlineStr">
        <is>
          <t>bio_tagged</t>
        </is>
      </c>
      <c r="B53" s="10">
        <f>IF($B$6="",$B$35,SUBSTITUTE($B$35,$B$4,$B$42,1))</f>
        <v/>
      </c>
    </row>
    <row r="54">
      <c r="A54" s="4" t="inlineStr">
        <is>
          <t>hook_names_beneficiary</t>
        </is>
      </c>
      <c r="B54" s="10">
        <f>IF($B$22="",FALSE,ISNUMBER(SEARCH($B$22,$B$36)))</f>
        <v/>
      </c>
    </row>
    <row r="55">
      <c r="A55" s="4" t="inlineStr">
        <is>
          <t>features</t>
        </is>
      </c>
      <c r="B55" s="10">
        <f>$B$28&amp;IF($B$29="","",". "&amp;$B$29)&amp;IF($B$30="","",". "&amp;$B$30)&amp;IF($B$31="","",". "&amp;$B$31)&amp;IF($B$32="","",". "&amp;$B$32)&amp;"."</f>
        <v/>
      </c>
    </row>
    <row r="56" ht="60" customHeight="1">
      <c r="A56" s="4" t="inlineStr">
        <is>
          <t>features_list</t>
        </is>
      </c>
      <c r="B56" s="10">
        <f>"· "&amp;$B$28&amp;IF($B$29="","",CHAR(10)&amp;"· "&amp;$B$29)&amp;IF($B$30="","",CHAR(10)&amp;"· "&amp;$B$30)&amp;IF($B$31="","",CHAR(10)&amp;"· "&amp;$B$31)&amp;IF($B$32="","",CHAR(10)&amp;"· "&amp;$B$32)</f>
        <v/>
      </c>
    </row>
    <row r="57" ht="70" customHeight="1">
      <c r="A57" s="4" t="inlineStr">
        <is>
          <t>features_list_support</t>
        </is>
      </c>
      <c r="B57" s="10">
        <f>$B$56&amp;IF(OR($B$22="",$B$54),"",CHAR(10)&amp;"· Released in support of "&amp;$B$22)</f>
        <v/>
      </c>
    </row>
    <row r="58">
      <c r="A58" s="4" t="inlineStr">
        <is>
          <t>making_ours</t>
        </is>
      </c>
      <c r="B58" s="10">
        <f>SUBSTITUTE($B$38,"printmakers at Make-Ready","our printmakers at Make-Ready")</f>
        <v/>
      </c>
    </row>
    <row r="59">
      <c r="A59" s="4" t="inlineStr">
        <is>
          <t>making_ours_tagged</t>
        </is>
      </c>
      <c r="B59" s="10">
        <f>SUBSTITUTE($B$38,"printmakers at Make-Ready","our printmakers at Make-Ready (@make__ready)")</f>
        <v/>
      </c>
    </row>
    <row r="60">
      <c r="A60" s="4" t="inlineStr">
        <is>
          <t>launch_date</t>
        </is>
      </c>
      <c r="B60" s="10">
        <f>TEXT($B$20,"d mmmm")</f>
        <v/>
      </c>
    </row>
    <row r="61">
      <c r="A61" s="4" t="inlineStr">
        <is>
          <t>launch_time</t>
        </is>
      </c>
      <c r="B61" s="10">
        <f>TEXT($B$20,"hh:mm")&amp;" UK time"</f>
        <v/>
      </c>
    </row>
    <row r="62">
      <c r="A62" s="4" t="inlineStr">
        <is>
          <t>launch_weekday</t>
        </is>
      </c>
      <c r="B62" s="10">
        <f>TEXT($B$20,"dddd")</f>
        <v/>
      </c>
    </row>
    <row r="63">
      <c r="A63" s="4" t="inlineStr">
        <is>
          <t>launch_date_dd</t>
        </is>
      </c>
      <c r="B63" s="10">
        <f>TEXT($B$20,"dd mmmm")</f>
        <v/>
      </c>
    </row>
    <row r="64">
      <c r="A64" s="4" t="inlineStr">
        <is>
          <t>close_date</t>
        </is>
      </c>
      <c r="B64" s="10">
        <f>TEXT($B$21,"d mmmm")</f>
        <v/>
      </c>
    </row>
    <row r="65">
      <c r="A65" s="4" t="inlineStr">
        <is>
          <t>close_time</t>
        </is>
      </c>
      <c r="B65" s="10">
        <f>TEXT($B$21,"hh:mm")&amp;" UK time"</f>
        <v/>
      </c>
    </row>
    <row r="66">
      <c r="A66" s="4" t="inlineStr">
        <is>
          <t>close_weekday</t>
        </is>
      </c>
      <c r="B66" s="10">
        <f>TEXT($B$21,"dddd")</f>
        <v/>
      </c>
    </row>
    <row r="67">
      <c r="A67" s="4" t="inlineStr">
        <is>
          <t>close_date_dd</t>
        </is>
      </c>
      <c r="B67" s="10">
        <f>TEXT($B$21,"dd mmmm")</f>
        <v/>
      </c>
    </row>
    <row r="68">
      <c r="A68" s="4" t="inlineStr">
        <is>
          <t>collect_phrase</t>
        </is>
      </c>
      <c r="B68" s="10">
        <f>SUBSTITUTE($B$15," new "," ",1)</f>
        <v/>
      </c>
    </row>
    <row r="69">
      <c r="A69" s="4" t="inlineStr">
        <is>
          <t>edition_phrase_cap</t>
        </is>
      </c>
      <c r="B69" s="10">
        <f>UPPER(LEFT($B$15,1))&amp;MID($B$15,2,999)</f>
        <v/>
      </c>
    </row>
    <row r="70">
      <c r="A70" s="4" t="inlineStr">
        <is>
          <t>window_cap</t>
        </is>
      </c>
      <c r="B70" s="10">
        <f>UPPER(LEFT($B$19,1))&amp;MID($B$19,2,999)</f>
        <v/>
      </c>
    </row>
    <row r="71">
      <c r="A71" s="4" t="inlineStr">
        <is>
          <t>card_line</t>
        </is>
      </c>
      <c r="B71" s="10">
        <f>IF($B$12="",$B$69,"A limited edition "&amp;$B$17)&amp;" by "&amp;$B$4&amp;"."</f>
        <v/>
      </c>
    </row>
    <row r="72">
      <c r="A72" s="4" t="inlineStr">
        <is>
          <t>card</t>
        </is>
      </c>
      <c r="B72" s="10">
        <f>IF($B$14="yes","Untitled",$B$11)&amp;CHAR(10)&amp;$B$71&amp;IF($B$12="","",CHAR(10)&amp;CHAR(10)&amp;"Card: "&amp;$B$12&amp;CHAR(10)&amp;$B$71)&amp;IF($B$13="","",CHAR(10)&amp;CHAR(10)&amp;"Card: "&amp;$B$13&amp;CHAR(10)&amp;$B$71)</f>
        <v/>
      </c>
    </row>
    <row r="73">
      <c r="A73" s="4" t="inlineStr">
        <is>
          <t>quote_line</t>
        </is>
      </c>
      <c r="B73" s="10">
        <f>IF($B$39="","","“"&amp;$B$39&amp;"” – "&amp;$B$4)</f>
        <v/>
      </c>
    </row>
    <row r="74">
      <c r="A74" s="4" t="inlineStr">
        <is>
          <t>each_artwork</t>
        </is>
      </c>
      <c r="B74" s="10">
        <f>IF($B$16&gt;1," for each artwork","")</f>
        <v/>
      </c>
    </row>
    <row r="75">
      <c r="A75" s="4" t="inlineStr">
        <is>
          <t>work_word</t>
        </is>
      </c>
      <c r="B75" s="10">
        <f>IF($B$16&gt;1,"works","work")</f>
        <v/>
      </c>
    </row>
    <row r="76">
      <c r="A76" s="4" t="inlineStr">
        <is>
          <t>add_what</t>
        </is>
      </c>
      <c r="B76" s="10">
        <f>IF($B$16&gt;1,$B$45,$B$48)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1"/>
  <sheetViews>
    <sheetView workbookViewId="0">
      <selection activeCell="A1" sqref="A1"/>
    </sheetView>
  </sheetViews>
  <sheetFormatPr baseColWidth="8" defaultRowHeight="15"/>
  <cols>
    <col width="40" customWidth="1" min="1" max="1"/>
    <col width="70" customWidth="1" min="2" max="2"/>
    <col width="70" customWidth="1" min="3" max="3"/>
  </cols>
  <sheetData>
    <row r="1">
      <c r="A1" s="1" t="inlineStr">
        <is>
          <t>The fixed sentences, with the placeholders they take</t>
        </is>
      </c>
    </row>
    <row r="2">
      <c r="A2" s="2" t="inlineStr">
        <is>
          <t>This is the whole system's copy, for the posts, the tweets and the emails. Edit a blue cell to change every future release. Column C fills the placeholders from Inputs.</t>
        </is>
      </c>
    </row>
    <row r="3">
      <c r="A3" s="3" t="inlineStr">
        <is>
          <t>Key</t>
        </is>
      </c>
      <c r="B3" s="3" t="inlineStr">
        <is>
          <t>Line, with placeholders</t>
        </is>
      </c>
      <c r="C3" s="3" t="inlineStr">
        <is>
          <t>Filled from Inputs</t>
        </is>
      </c>
    </row>
    <row r="4">
      <c r="A4" s="3" t="inlineStr">
        <is>
          <t>POSTS</t>
        </is>
      </c>
    </row>
    <row r="5" ht="16" customHeight="1">
      <c r="A5" s="4" t="inlineStr">
        <is>
          <t>post · coming soon · status</t>
        </is>
      </c>
      <c r="B5" s="8" t="inlineStr">
        <is>
          <t>Our {ordinal} collaboration is on the horizon.</t>
        </is>
      </c>
      <c r="C5" s="10">
        <f>SUBSTITUTE(B5,"{ordinal}",Inputs!$B$10)</f>
        <v/>
      </c>
    </row>
    <row r="6" ht="16" customHeight="1">
      <c r="A6" s="4" t="inlineStr">
        <is>
          <t>post · announce · status</t>
        </is>
      </c>
      <c r="B6" s="8" t="inlineStr">
        <is>
          <t>Announcing {work}, {edition_phrase} by {named}.</t>
        </is>
      </c>
      <c r="C6" s="10">
        <f>SUBSTITUTE(SUBSTITUTE(SUBSTITUTE(B6,"{named}",Inputs!$B$42),"{work}",Inputs!$B$46),"{edition_phrase}",Inputs!$B$15)</f>
        <v/>
      </c>
    </row>
    <row r="7" ht="16" customHeight="1">
      <c r="A7" s="4" t="inlineStr">
        <is>
          <t>post · announce · status, series</t>
        </is>
      </c>
      <c r="B7" s="8" t="inlineStr">
        <is>
          <t>Announcing {edition_phrase} by {named}, from {work}.</t>
        </is>
      </c>
      <c r="C7" s="10">
        <f>SUBSTITUTE(SUBSTITUTE(SUBSTITUTE(B7,"{named}",Inputs!$B$42),"{work}",Inputs!$B$46),"{edition_phrase}",Inputs!$B$15)</f>
        <v/>
      </c>
    </row>
    <row r="8" ht="16" customHeight="1">
      <c r="A8" s="4" t="inlineStr">
        <is>
          <t>post · sustain · status</t>
        </is>
      </c>
      <c r="B8" s="8" t="inlineStr">
        <is>
          <t>A closer look at {work}, {edition_phrase} by {named}.</t>
        </is>
      </c>
      <c r="C8" s="10">
        <f>SUBSTITUTE(SUBSTITUTE(SUBSTITUTE(B8,"{named}",Inputs!$B$42),"{work}",Inputs!$B$46),"{edition_phrase}",Inputs!$B$15)</f>
        <v/>
      </c>
    </row>
    <row r="9" ht="16" customHeight="1">
      <c r="A9" s="4" t="inlineStr">
        <is>
          <t>post · artist's words · status</t>
        </is>
      </c>
      <c r="B9" s="8" t="inlineStr">
        <is>
          <t>“{quote}” – {artist}</t>
        </is>
      </c>
      <c r="C9" s="10">
        <f>SUBSTITUTE(SUBSTITUTE(B9,"{artist}",Inputs!$B$4),"{quote}",Inputs!$B$39)</f>
        <v/>
      </c>
    </row>
    <row r="10" ht="16" customHeight="1">
      <c r="A10" s="4" t="inlineStr">
        <is>
          <t>post · artist's words · second line</t>
        </is>
      </c>
      <c r="B10" s="8" t="inlineStr">
        <is>
          <t>{Work}, {edition_phrase} by {named}.</t>
        </is>
      </c>
      <c r="C10" s="10">
        <f>SUBSTITUTE(SUBSTITUTE(SUBSTITUTE(B10,"{named}",Inputs!$B$42),"{Work}",Inputs!$B$47),"{edition_phrase}",Inputs!$B$15)</f>
        <v/>
      </c>
    </row>
    <row r="11" ht="16" customHeight="1">
      <c r="A11" s="4" t="inlineStr">
        <is>
          <t>post · live · status</t>
        </is>
      </c>
      <c r="B11" s="8" t="inlineStr">
        <is>
          <t>{Work} by {named} is now available to collect, for {window} only.</t>
        </is>
      </c>
      <c r="C11" s="10">
        <f>SUBSTITUTE(SUBSTITUTE(SUBSTITUTE(B11,"{named}",Inputs!$B$42),"{Work}",Inputs!$B$47),"{window}",Inputs!$B$19)</f>
        <v/>
      </c>
    </row>
    <row r="12" ht="16" customHeight="1">
      <c r="A12" s="4" t="inlineStr">
        <is>
          <t>post · still time · status</t>
        </is>
      </c>
      <c r="B12" s="8" t="inlineStr">
        <is>
          <t>There's still time to collect {work} by {named}.</t>
        </is>
      </c>
      <c r="C12" s="10">
        <f>SUBSTITUTE(SUBSTITUTE(B12,"{named}",Inputs!$B$42),"{work}",Inputs!$B$46)</f>
        <v/>
      </c>
    </row>
    <row r="13" ht="16" customHeight="1">
      <c r="A13" s="4" t="inlineStr">
        <is>
          <t>post · last chance · status</t>
        </is>
      </c>
      <c r="B13" s="8" t="inlineStr">
        <is>
          <t>Last chance to collect {work} by {named}.</t>
        </is>
      </c>
      <c r="C13" s="10">
        <f>SUBSTITUTE(SUBSTITUTE(B13,"{named}",Inputs!$B$42),"{work}",Inputs!$B$46)</f>
        <v/>
      </c>
    </row>
    <row r="14" ht="16" customHeight="1">
      <c r="A14" s="4" t="inlineStr">
        <is>
          <t>post · last chance · status, draw</t>
        </is>
      </c>
      <c r="B14" s="8" t="inlineStr">
        <is>
          <t>Last chance to enter the draw for {work} by {named}.</t>
        </is>
      </c>
      <c r="C14" s="10">
        <f>SUBSTITUTE(SUBSTITUTE(B14,"{named}",Inputs!$B$42),"{work}",Inputs!$B$46)</f>
        <v/>
      </c>
    </row>
    <row r="15" ht="16" customHeight="1">
      <c r="A15" s="4" t="inlineStr">
        <is>
          <t>post · features line</t>
        </is>
      </c>
      <c r="B15" s="8" t="inlineStr">
        <is>
          <t>{features}</t>
        </is>
      </c>
      <c r="C15" s="10">
        <f>SUBSTITUTE(B15,"{features}",Inputs!$B$55)</f>
        <v/>
      </c>
    </row>
    <row r="16" ht="16" customHeight="1">
      <c r="A16" s="4" t="inlineStr">
        <is>
          <t>post · beneficiary line</t>
        </is>
      </c>
      <c r="B16" s="8" t="inlineStr">
        <is>
          <t>Released in support of {beneficiary_tagged}.</t>
        </is>
      </c>
      <c r="C16" s="10">
        <f>SUBSTITUTE(B16,"{beneficiary_tagged}",Inputs!$B$52)</f>
        <v/>
      </c>
    </row>
    <row r="17" ht="32" customHeight="1">
      <c r="A17" s="4" t="inlineStr">
        <is>
          <t>post · action before launch, timed</t>
        </is>
      </c>
      <c r="B17" s="8" t="inlineStr">
        <is>
          <t>Available for {window} from {launch_time} on {launch_date}. Link in bio to get updates.</t>
        </is>
      </c>
      <c r="C17" s="10">
        <f>SUBSTITUTE(SUBSTITUTE(SUBSTITUTE(B17,"{window}",Inputs!$B$19),"{launch_date}",Inputs!$B$60),"{launch_time}",Inputs!$B$61)</f>
        <v/>
      </c>
    </row>
    <row r="18" ht="32" customHeight="1">
      <c r="A18" s="4" t="inlineStr">
        <is>
          <t>post · action before launch, draw</t>
        </is>
      </c>
      <c r="B18" s="8" t="inlineStr">
        <is>
          <t>Enter the draw via our link in bio. Closes {close_date} at {close_time}.</t>
        </is>
      </c>
      <c r="C18" s="10">
        <f>SUBSTITUTE(SUBSTITUTE(B18,"{close_date}",Inputs!$B$64),"{close_time}",Inputs!$B$65)</f>
        <v/>
      </c>
    </row>
    <row r="19" ht="16" customHeight="1">
      <c r="A19" s="4" t="inlineStr">
        <is>
          <t>post · action while open, timed</t>
        </is>
      </c>
      <c r="B19" s="8" t="inlineStr">
        <is>
          <t>Link in bio to buy {a_unit}. Closes {close_date} at {close_time}.</t>
        </is>
      </c>
      <c r="C19" s="10">
        <f>SUBSTITUTE(SUBSTITUTE(SUBSTITUTE(B19,"{a_unit}",Inputs!$B$45),"{close_date}",Inputs!$B$64),"{close_time}",Inputs!$B$65)</f>
        <v/>
      </c>
    </row>
    <row r="20" ht="32" customHeight="1">
      <c r="A20" s="4" t="inlineStr">
        <is>
          <t>post · action while open, draw</t>
        </is>
      </c>
      <c r="B20" s="8" t="inlineStr">
        <is>
          <t>Enter the draw via our link in bio. Closes {close_date} at {close_time}.</t>
        </is>
      </c>
      <c r="C20" s="10">
        <f>SUBSTITUTE(SUBSTITUTE(B20,"{close_date}",Inputs!$B$64),"{close_time}",Inputs!$B$65)</f>
        <v/>
      </c>
    </row>
    <row r="21" ht="16" customHeight="1">
      <c r="A21" s="4" t="inlineStr">
        <is>
          <t>post · coming soon · action</t>
        </is>
      </c>
      <c r="B21" s="8" t="inlineStr">
        <is>
          <t>Link in bio to get updates.</t>
        </is>
      </c>
      <c r="C21" s="10">
        <f>B21</f>
        <v/>
      </c>
    </row>
    <row r="22" ht="16" customHeight="1">
      <c r="A22" s="4" t="inlineStr">
        <is>
          <t>post · hashtag</t>
        </is>
      </c>
      <c r="B22" s="8" t="inlineStr">
        <is>
          <t>#{hashtag}</t>
        </is>
      </c>
      <c r="C22" s="10">
        <f>SUBSTITUTE(B22,"{hashtag}",Inputs!$B$9)</f>
        <v/>
      </c>
    </row>
    <row r="23">
      <c r="A23" s="3" t="inlineStr">
        <is>
          <t>TWEETS</t>
        </is>
      </c>
    </row>
    <row r="24" ht="16" customHeight="1">
      <c r="A24" s="4" t="inlineStr">
        <is>
          <t>tweet · coming soon · status</t>
        </is>
      </c>
      <c r="B24" s="8" t="inlineStr">
        <is>
          <t>Our {ordinal} collaboration with {collab_x} is on the horizon.</t>
        </is>
      </c>
      <c r="C24" s="10">
        <f>SUBSTITUTE(SUBSTITUTE(B24,"{collab_x}",Inputs!$B$44),"{ordinal}",Inputs!$B$10)</f>
        <v/>
      </c>
    </row>
    <row r="25" ht="16" customHeight="1">
      <c r="A25" s="4" t="inlineStr">
        <is>
          <t>tweet · coming soon · action</t>
        </is>
      </c>
      <c r="B25" s="8" t="inlineStr">
        <is>
          <t>Sign up for updates: {link}</t>
        </is>
      </c>
      <c r="C25" s="10">
        <f>SUBSTITUTE(B25,"{link}",Inputs!$B$8)</f>
        <v/>
      </c>
    </row>
    <row r="26" ht="16" customHeight="1">
      <c r="A26" s="4" t="inlineStr">
        <is>
          <t>tweet · beneficiary line</t>
        </is>
      </c>
      <c r="B26" s="8" t="inlineStr">
        <is>
          <t>Released in support of {beneficiary}.</t>
        </is>
      </c>
      <c r="C26" s="10">
        <f>SUBSTITUTE(B26,"{beneficiary}",Inputs!$B$22)</f>
        <v/>
      </c>
    </row>
    <row r="27" ht="32" customHeight="1">
      <c r="A27" s="4" t="inlineStr">
        <is>
          <t>tweet · action before launch, timed</t>
        </is>
      </c>
      <c r="B27" s="8" t="inlineStr">
        <is>
          <t>Available for {window} from {launch_time} on {launch_date}. Sign up for updates: {link}</t>
        </is>
      </c>
      <c r="C27" s="10">
        <f>SUBSTITUTE(SUBSTITUTE(SUBSTITUTE(SUBSTITUTE(B27,"{link}",Inputs!$B$8),"{window}",Inputs!$B$19),"{launch_date}",Inputs!$B$60),"{launch_time}",Inputs!$B$61)</f>
        <v/>
      </c>
    </row>
    <row r="28" ht="16" customHeight="1">
      <c r="A28" s="4" t="inlineStr">
        <is>
          <t>tweet · action, draw</t>
        </is>
      </c>
      <c r="B28" s="8" t="inlineStr">
        <is>
          <t>Closes {close_date} at {close_time}. Enter the draw: {link}</t>
        </is>
      </c>
      <c r="C28" s="10">
        <f>SUBSTITUTE(SUBSTITUTE(SUBSTITUTE(B28,"{link}",Inputs!$B$8),"{close_date}",Inputs!$B$64),"{close_time}",Inputs!$B$65)</f>
        <v/>
      </c>
    </row>
    <row r="29" ht="16" customHeight="1">
      <c r="A29" s="4" t="inlineStr">
        <is>
          <t>tweet · action while open, timed</t>
        </is>
      </c>
      <c r="B29" s="8" t="inlineStr">
        <is>
          <t>Closes {close_date} at {close_time}. Buy {a_unit}: {link}</t>
        </is>
      </c>
      <c r="C29" s="10">
        <f>SUBSTITUTE(SUBSTITUTE(SUBSTITUTE(SUBSTITUTE(B29,"{link}",Inputs!$B$8),"{a_unit}",Inputs!$B$45),"{close_date}",Inputs!$B$64),"{close_time}",Inputs!$B$65)</f>
        <v/>
      </c>
    </row>
    <row r="30">
      <c r="A30" s="3" t="inlineStr">
        <is>
          <t>EMAILS · shared</t>
        </is>
      </c>
    </row>
    <row r="31" ht="16" customHeight="1">
      <c r="A31" s="4" t="inlineStr">
        <is>
          <t>email · greeting</t>
        </is>
      </c>
      <c r="B31" s="8" t="inlineStr">
        <is>
          <t>Hi {{ personalization_token('contact.firstname', 'there') }},</t>
        </is>
      </c>
      <c r="C31" s="10">
        <f>B31</f>
        <v/>
      </c>
    </row>
    <row r="32" ht="32" customHeight="1">
      <c r="A32" s="4" t="inlineStr">
        <is>
          <t>email · questions line</t>
        </is>
      </c>
      <c r="B32" s="8" t="inlineStr">
        <is>
          <t>If you have any questions, please don't hesitate to get in touch by replying to this email.</t>
        </is>
      </c>
      <c r="C32" s="10">
        <f>B32</f>
        <v/>
      </c>
    </row>
    <row r="33" ht="32" customHeight="1">
      <c r="A33" s="4" t="inlineStr">
        <is>
          <t>email · draw line</t>
        </is>
      </c>
      <c r="B33" s="8" t="inlineStr">
        <is>
          <t>Enter the draw for a chance to collect. Closes at {close_time} on {close_date}.</t>
        </is>
      </c>
      <c r="C33" s="10">
        <f>SUBSTITUTE(SUBSTITUTE(B33,"{close_date}",Inputs!$B$64),"{close_time}",Inputs!$B$65)</f>
        <v/>
      </c>
    </row>
    <row r="34" ht="64" customHeight="1">
      <c r="A34" s="4" t="inlineStr">
        <is>
          <t>email · edition numbers line</t>
        </is>
      </c>
      <c r="B34" s="8" t="inlineStr">
        <is>
          <t>Earlier orders will typically receive a lower edition number, with framed editions receiving lower edition numbers than unframed prints. You can read more on how we allocate edition numbers across a release here.</t>
        </is>
      </c>
      <c r="C34" s="10">
        <f>B34</f>
        <v/>
      </c>
    </row>
    <row r="35" ht="16" customHeight="1">
      <c r="A35" s="4" t="inlineStr">
        <is>
          <t>email · kicker · collect</t>
        </is>
      </c>
      <c r="B35" s="8" t="inlineStr">
        <is>
          <t>Collect {a_unit} by {artist}</t>
        </is>
      </c>
      <c r="C35" s="10">
        <f>SUBSTITUTE(SUBSTITUTE(B35,"{artist}",Inputs!$B$4),"{a_unit}",Inputs!$B$45)</f>
        <v/>
      </c>
    </row>
    <row r="36" ht="32" customHeight="1">
      <c r="A36" s="4" t="inlineStr">
        <is>
          <t>email · framing offer · welcome</t>
        </is>
      </c>
      <c r="B36" s="8" t="inlineStr">
        <is>
          <t>As a welcome gesture, enjoy {framing_percent}% off our in-house framing on your first purchase using the code {framing_code} at checkout.</t>
        </is>
      </c>
      <c r="C36" s="10">
        <f>SUBSTITUTE(SUBSTITUTE(B36,"{framing_code}",Inputs!$B$26),"{framing_percent}",Inputs!$B$27)</f>
        <v/>
      </c>
    </row>
    <row r="37" ht="32" customHeight="1">
      <c r="A37" s="4" t="inlineStr">
        <is>
          <t>email · framing offer · reminder</t>
        </is>
      </c>
      <c r="B37" s="8" t="inlineStr">
        <is>
          <t>As a reminder, you can enjoy {framing_percent}% off our in-house framing on your first purchase using the code {framing_code} at checkout.</t>
        </is>
      </c>
      <c r="C37" s="10">
        <f>SUBSTITUTE(SUBSTITUTE(B37,"{framing_code}",Inputs!$B$26),"{framing_percent}",Inputs!$B$27)</f>
        <v/>
      </c>
    </row>
    <row r="38">
      <c r="A38" s="3" t="inlineStr">
        <is>
          <t>EMAILS · announcement</t>
        </is>
      </c>
    </row>
    <row r="39" ht="16" customHeight="1">
      <c r="A39" s="4" t="inlineStr">
        <is>
          <t>email · announce · subject</t>
        </is>
      </c>
      <c r="B39" s="8" t="inlineStr">
        <is>
          <t>{artist} – {edition_phrase_cap}</t>
        </is>
      </c>
      <c r="C39" s="10">
        <f>SUBSTITUTE(SUBSTITUTE(B39,"{artist}",Inputs!$B$4),"{edition_phrase_cap}",Inputs!$B$69)</f>
        <v/>
      </c>
    </row>
    <row r="40" ht="32" customHeight="1">
      <c r="A40" s="4" t="inlineStr">
        <is>
          <t>email · announce · opener</t>
        </is>
      </c>
      <c r="B40" s="8" t="inlineStr">
        <is>
          <t>We're delighted to announce our {ordinal} collaboration with {collab_with} – {work_intro}{support}.</t>
        </is>
      </c>
      <c r="C40" s="10">
        <f>SUBSTITUTE(SUBSTITUTE(SUBSTITUTE(SUBSTITUTE(B40,"{collab_with}",Inputs!$B$5),"{work_intro}",Inputs!$B$50),"{support}",Inputs!$B$51),"{ordinal}",Inputs!$B$10)</f>
        <v/>
      </c>
    </row>
    <row r="41" ht="32" customHeight="1">
      <c r="A41" s="4" t="inlineStr">
        <is>
          <t>email · announce · launch line, timed</t>
        </is>
      </c>
      <c r="B41" s="8" t="inlineStr">
        <is>
          <t>The edition will be available to collect for {window} only, starting at {launch_time} on {launch_weekday}, {launch_date_dd}.</t>
        </is>
      </c>
      <c r="C41" s="10">
        <f>SUBSTITUTE(SUBSTITUTE(SUBSTITUTE(SUBSTITUTE(B41,"{window}",Inputs!$B$19),"{launch_time}",Inputs!$B$61),"{launch_weekday}",Inputs!$B$62),"{launch_date_dd}",Inputs!$B$63)</f>
        <v/>
      </c>
    </row>
    <row r="42" ht="16" customHeight="1">
      <c r="A42" s="4" t="inlineStr">
        <is>
          <t>email · announce · register line</t>
        </is>
      </c>
      <c r="B42" s="8" t="inlineStr">
        <is>
          <t>Click below to learn more and register for updates.</t>
        </is>
      </c>
      <c r="C42" s="10">
        <f>B42</f>
        <v/>
      </c>
    </row>
    <row r="43">
      <c r="A43" s="3" t="inlineStr">
        <is>
          <t>EMAILS · welcome (TL flow)</t>
        </is>
      </c>
    </row>
    <row r="44" ht="32" customHeight="1">
      <c r="A44" s="4" t="inlineStr">
        <is>
          <t>email · welcome · 1</t>
        </is>
      </c>
      <c r="B44" s="8" t="inlineStr">
        <is>
          <t>Welcome {{ personalization_token('contact.firstname', 'to Avant Arte') }}!</t>
        </is>
      </c>
      <c r="C44" s="10">
        <f>B44</f>
        <v/>
      </c>
    </row>
    <row r="45" ht="64" customHeight="1">
      <c r="A45" s="4" t="inlineStr">
        <is>
          <t>email · welcome · 2</t>
        </is>
      </c>
      <c r="B45" s="8" t="inlineStr">
        <is>
          <t>Avant Arte began with a simple mission – to make collecting art more accessible. Since then, we've collaborated with hundreds of inspiring artists, from rising stars to icons like Ai Weiwei, Jenny Holzer, Lee Ufan and Carrie Mae Weems.</t>
        </is>
      </c>
      <c r="C45" s="10">
        <f>B45</f>
        <v/>
      </c>
    </row>
    <row r="46" ht="64" customHeight="1">
      <c r="A46" s="4" t="inlineStr">
        <is>
          <t>email · welcome · 3</t>
        </is>
      </c>
      <c r="B46" s="8" t="inlineStr">
        <is>
          <t>Our upcoming collaboration with {collab_with} is the latest in this lineage. If you're new to collecting art or curious about limited editions, our library of guides is a good place to start. In particular, How to collect art and What is an edition?</t>
        </is>
      </c>
      <c r="C46" s="10">
        <f>SUBSTITUTE(B46,"{collab_with}",Inputs!$B$5)</f>
        <v/>
      </c>
    </row>
    <row r="47" ht="32" customHeight="1">
      <c r="A47" s="4" t="inlineStr">
        <is>
          <t>email · welcome · 4</t>
        </is>
      </c>
      <c r="B47" s="8" t="inlineStr">
        <is>
          <t>Let us know if you have any questions. We're excited to see what you collect.</t>
        </is>
      </c>
      <c r="C47" s="10">
        <f>B47</f>
        <v/>
      </c>
    </row>
    <row r="48">
      <c r="A48" s="3" t="inlineStr">
        <is>
          <t>EMAILS · early access</t>
        </is>
      </c>
    </row>
    <row r="49" ht="32" customHeight="1">
      <c r="A49" s="4" t="inlineStr">
        <is>
          <t>email · early access, timed · opener</t>
        </is>
      </c>
      <c r="B49" s="8" t="inlineStr">
        <is>
          <t>Our {ordinal} collaboration with {collab_with} launches tomorrow at {launch_time} and will be available to collect for {window} only.</t>
        </is>
      </c>
      <c r="C49" s="10">
        <f>SUBSTITUTE(SUBSTITUTE(SUBSTITUTE(SUBSTITUTE(B49,"{collab_with}",Inputs!$B$5),"{ordinal}",Inputs!$B$10),"{window}",Inputs!$B$19),"{launch_time}",Inputs!$B$61)</f>
        <v/>
      </c>
    </row>
    <row r="50" ht="32" customHeight="1">
      <c r="A50" s="4" t="inlineStr">
        <is>
          <t>email · early access, timed · registered line</t>
        </is>
      </c>
      <c r="B50" s="8" t="inlineStr">
        <is>
          <t>As a thank you for registering for updates, we're offering you the chance to collect the release 24 hours before everyone else.</t>
        </is>
      </c>
      <c r="C50" s="10">
        <f>B50</f>
        <v/>
      </c>
    </row>
    <row r="51" ht="32" customHeight="1">
      <c r="A51" s="4" t="inlineStr">
        <is>
          <t>email · early access, timed · past collectors line</t>
        </is>
      </c>
      <c r="B51" s="8" t="inlineStr">
        <is>
          <t>As a previous collector of the artist, we're offering you the chance to order the collaboration 24 hours before everyone else.</t>
        </is>
      </c>
      <c r="C51" s="10">
        <f>B51</f>
        <v/>
      </c>
    </row>
    <row r="52" ht="16" customHeight="1">
      <c r="A52" s="4" t="inlineStr">
        <is>
          <t>email · early access, timed · unlock line</t>
        </is>
      </c>
      <c r="B52" s="8" t="inlineStr">
        <is>
          <t>Unlock early access using the link below.</t>
        </is>
      </c>
      <c r="C52" s="10">
        <f>B52</f>
        <v/>
      </c>
    </row>
    <row r="53" ht="32" customHeight="1">
      <c r="A53" s="4" t="inlineStr">
        <is>
          <t>email · early access, draw · 1</t>
        </is>
      </c>
      <c r="B53" s="8" t="inlineStr">
        <is>
          <t>We're currently preparing the launch of our {ordinal} collaboration with {collab_with} – {work_intro}{support}.</t>
        </is>
      </c>
      <c r="C53" s="10">
        <f>SUBSTITUTE(SUBSTITUTE(SUBSTITUTE(SUBSTITUTE(B53,"{collab_with}",Inputs!$B$5),"{work_intro}",Inputs!$B$50),"{support}",Inputs!$B$51),"{ordinal}",Inputs!$B$10)</f>
        <v/>
      </c>
    </row>
    <row r="54" ht="96" customHeight="1">
      <c r="A54" s="4" t="inlineStr">
        <is>
          <t>email · early access, draw · 2</t>
        </is>
      </c>
      <c r="B54" s="8" t="inlineStr">
        <is>
          <t>The edition will launch publicly on {launch_date} and will be allocated by a randomised draw; however, for the next 48 hours we're offering a small group of collectors a first look, plus access to a limited number of pre-orders. Based on your order history and the artists you've expressed an interest in, I thought the edition would be a good fit for your collection.</t>
        </is>
      </c>
      <c r="C54" s="10">
        <f>SUBSTITUTE(B54,"{launch_date}",Inputs!$B$60)</f>
        <v/>
      </c>
    </row>
    <row r="55" ht="32" customHeight="1">
      <c r="A55" s="4" t="inlineStr">
        <is>
          <t>email · early access, draw · 3</t>
        </is>
      </c>
      <c r="B55" s="8" t="inlineStr">
        <is>
          <t>Explore the artwork and place your order via the private link below. Use code {early_access_code} to unlock early access.</t>
        </is>
      </c>
      <c r="C55" s="10">
        <f>SUBSTITUTE(B55,"{early_access_code}",Inputs!$B$25)</f>
        <v/>
      </c>
    </row>
    <row r="56" ht="32" customHeight="1">
      <c r="A56" s="4" t="inlineStr">
        <is>
          <t>email · insiders · opener</t>
        </is>
      </c>
      <c r="B56" s="8" t="inlineStr">
        <is>
          <t>I'm delighted to share our {ordinal} collaboration with {collab_with} – {work_intro}{support}.</t>
        </is>
      </c>
      <c r="C56" s="10">
        <f>SUBSTITUTE(SUBSTITUTE(SUBSTITUTE(SUBSTITUTE(B56,"{collab_with}",Inputs!$B$5),"{work_intro}",Inputs!$B$50),"{support}",Inputs!$B$51),"{ordinal}",Inputs!$B$10)</f>
        <v/>
      </c>
    </row>
    <row r="57" ht="64" customHeight="1">
      <c r="A57" s="4" t="inlineStr">
        <is>
          <t>email · insiders · mechanics, draw</t>
        </is>
      </c>
      <c r="B57" s="8" t="inlineStr">
        <is>
          <t>The edition will launch publicly on {launch_date} and will be allocated by a randomised draw. However, for the next 48 hours, I'm excited to offer you a first look, plus early access to a limited number of pre-orders.</t>
        </is>
      </c>
      <c r="C57" s="10">
        <f>SUBSTITUTE(B57,"{launch_date}",Inputs!$B$60)</f>
        <v/>
      </c>
    </row>
    <row r="58" ht="48" customHeight="1">
      <c r="A58" s="4" t="inlineStr">
        <is>
          <t>email · insiders · mechanics, timed</t>
        </is>
      </c>
      <c r="B58" s="8" t="inlineStr">
        <is>
          <t>The edition launches tomorrow at {launch_time} and will be available to collect for {window} only. For the next 24 hours, I'm excited to offer you early access ahead of the public launch.</t>
        </is>
      </c>
      <c r="C58" s="10">
        <f>SUBSTITUTE(SUBSTITUTE(B58,"{window}",Inputs!$B$19),"{launch_time}",Inputs!$B$61)</f>
        <v/>
      </c>
    </row>
    <row r="59" ht="32" customHeight="1">
      <c r="A59" s="4" t="inlineStr">
        <is>
          <t>email · insiders · code line, draw</t>
        </is>
      </c>
      <c r="B59" s="8" t="inlineStr">
        <is>
          <t>Discover the artwork and place your order via the private link below. Use code {early_access_code} to unlock early access.</t>
        </is>
      </c>
      <c r="C59" s="10">
        <f>SUBSTITUTE(B59,"{early_access_code}",Inputs!$B$25)</f>
        <v/>
      </c>
    </row>
    <row r="60" ht="16" customHeight="1">
      <c r="A60" s="4" t="inlineStr">
        <is>
          <t>email · insiders · link line, timed</t>
        </is>
      </c>
      <c r="B60" s="8" t="inlineStr">
        <is>
          <t>Discover the artwork and place your order via the private link below.</t>
        </is>
      </c>
      <c r="C60" s="10">
        <f>B60</f>
        <v/>
      </c>
    </row>
    <row r="61" ht="64" customHeight="1">
      <c r="A61" s="4" t="inlineStr">
        <is>
          <t>email · insiders · sign-off</t>
        </is>
      </c>
      <c r="B61" s="8" t="inlineStr">
        <is>
          <t>Best regards,
{advisor}
Art Advisor at Avant Arte</t>
        </is>
      </c>
      <c r="C61" s="10">
        <f>SUBSTITUTE(B61,"{advisor}",Inputs!$B$24)</f>
        <v/>
      </c>
    </row>
    <row r="62">
      <c r="A62" s="3" t="inlineStr">
        <is>
          <t>EMAILS · the window (TL)</t>
        </is>
      </c>
    </row>
    <row r="63" ht="32" customHeight="1">
      <c r="A63" s="4" t="inlineStr">
        <is>
          <t>email · live · opener</t>
        </is>
      </c>
      <c r="B63" s="8" t="inlineStr">
        <is>
          <t>Our {ordinal} collaboration with {collab_with} is now available to collect for {window} only – {work_intro}{support}.</t>
        </is>
      </c>
      <c r="C63" s="10">
        <f>SUBSTITUTE(SUBSTITUTE(SUBSTITUTE(SUBSTITUTE(SUBSTITUTE(B63,"{collab_with}",Inputs!$B$5),"{work_intro}",Inputs!$B$50),"{support}",Inputs!$B$51),"{ordinal}",Inputs!$B$10),"{window}",Inputs!$B$19)</f>
        <v/>
      </c>
    </row>
    <row r="64" ht="48" customHeight="1">
      <c r="A64" s="4" t="inlineStr">
        <is>
          <t>email · live · closing line</t>
        </is>
      </c>
      <c r="B64" s="8" t="inlineStr">
        <is>
          <t>The opportunity to collect an edition ends at {close_time} on {close_weekday}, {close_date_dd}. Click the link below to add {add_what} to your collection.</t>
        </is>
      </c>
      <c r="C64" s="10">
        <f>SUBSTITUTE(SUBSTITUTE(SUBSTITUTE(SUBSTITUTE(B64,"{close_time}",Inputs!$B$65),"{close_weekday}",Inputs!$B$66),"{close_date_dd}",Inputs!$B$67),"{add_what}",Inputs!$B$76)</f>
        <v/>
      </c>
    </row>
    <row r="65" ht="16" customHeight="1">
      <c r="A65" s="4" t="inlineStr">
        <is>
          <t>email · halfway · headline</t>
        </is>
      </c>
      <c r="B65" s="8" t="inlineStr">
        <is>
          <t>24 hours down, 24 to go</t>
        </is>
      </c>
      <c r="C65" s="10">
        <f>B65</f>
        <v/>
      </c>
    </row>
    <row r="66" ht="16" customHeight="1">
      <c r="A66" s="4" t="inlineStr">
        <is>
          <t>email · halfway · footer</t>
        </is>
      </c>
      <c r="B66" s="8" t="inlineStr">
        <is>
          <t>There's still time to add {a_unit} to your collection.</t>
        </is>
      </c>
      <c r="C66" s="10">
        <f>SUBSTITUTE(B66,"{a_unit}",Inputs!$B$45)</f>
        <v/>
      </c>
    </row>
    <row r="67" ht="16" customHeight="1">
      <c r="A67" s="4" t="inlineStr">
        <is>
          <t>email · 5 days · headline</t>
        </is>
      </c>
      <c r="B67" s="8" t="inlineStr">
        <is>
          <t>2 days down, 5 days to go</t>
        </is>
      </c>
      <c r="C67" s="10">
        <f>B67</f>
        <v/>
      </c>
    </row>
    <row r="68" ht="16" customHeight="1">
      <c r="A68" s="4" t="inlineStr">
        <is>
          <t>email · 3 days · headline</t>
        </is>
      </c>
      <c r="B68" s="8" t="inlineStr">
        <is>
          <t>Three days left to collect</t>
        </is>
      </c>
      <c r="C68" s="10">
        <f>B68</f>
        <v/>
      </c>
    </row>
    <row r="69" ht="32" customHeight="1">
      <c r="A69" s="4" t="inlineStr">
        <is>
          <t>email · 3 days · 1</t>
        </is>
      </c>
      <c r="B69" s="8" t="inlineStr">
        <is>
          <t>There are just three days left to collect {collect_phrase} by {artist}.</t>
        </is>
      </c>
      <c r="C69" s="10">
        <f>SUBSTITUTE(SUBSTITUTE(B69,"{artist}",Inputs!$B$4),"{collect_phrase}",Inputs!$B$68)</f>
        <v/>
      </c>
    </row>
    <row r="70" ht="32" customHeight="1">
      <c r="A70" s="4" t="inlineStr">
        <is>
          <t>email · 3 days · 2</t>
        </is>
      </c>
      <c r="B70" s="8" t="inlineStr">
        <is>
          <t>Click the link to collect before {close_time} on {close_weekday}, {close_date_dd}.</t>
        </is>
      </c>
      <c r="C70" s="10">
        <f>SUBSTITUTE(SUBSTITUTE(SUBSTITUTE(B70,"{close_time}",Inputs!$B$65),"{close_weekday}",Inputs!$B$66),"{close_date_dd}",Inputs!$B$67)</f>
        <v/>
      </c>
    </row>
    <row r="71" ht="16" customHeight="1">
      <c r="A71" s="4" t="inlineStr">
        <is>
          <t>email · days to go · footer</t>
        </is>
      </c>
      <c r="B71" s="8" t="inlineStr">
        <is>
          <t>Add {a_unit} to your collection</t>
        </is>
      </c>
      <c r="C71" s="10">
        <f>SUBSTITUTE(B71,"{a_unit}",Inputs!$B$45)</f>
        <v/>
      </c>
    </row>
    <row r="72">
      <c r="A72" s="3" t="inlineStr">
        <is>
          <t>EMAILS · last chance</t>
        </is>
      </c>
    </row>
    <row r="73" ht="48" customHeight="1">
      <c r="A73" s="4" t="inlineStr">
        <is>
          <t>email · last chance, timed · 1</t>
        </is>
      </c>
      <c r="B73" s="8" t="inlineStr">
        <is>
          <t>It's now or never for our {ordinal} collaboration with {collab_with} – {collect_phrase} will be available to order until {close_time} on {close_weekday}, {close_date_dd}.</t>
        </is>
      </c>
      <c r="C73" s="10">
        <f>SUBSTITUTE(SUBSTITUTE(SUBSTITUTE(SUBSTITUTE(SUBSTITUTE(SUBSTITUTE(B73,"{collab_with}",Inputs!$B$5),"{collect_phrase}",Inputs!$B$68),"{ordinal}",Inputs!$B$10),"{close_time}",Inputs!$B$65),"{close_weekday}",Inputs!$B$66),"{close_date_dd}",Inputs!$B$67)</f>
        <v/>
      </c>
    </row>
    <row r="74" ht="32" customHeight="1">
      <c r="A74" s="4" t="inlineStr">
        <is>
          <t>email · last chance, timed · 2</t>
        </is>
      </c>
      <c r="B74" s="8" t="inlineStr">
        <is>
          <t>After this time, the edition size{each_artwork} will be confirmed, and the {work_word} will no longer be available to purchase.</t>
        </is>
      </c>
      <c r="C74" s="10">
        <f>SUBSTITUTE(SUBSTITUTE(B74,"{each_artwork}",Inputs!$B$74),"{work_word}",Inputs!$B$75)</f>
        <v/>
      </c>
    </row>
    <row r="75" ht="32" customHeight="1">
      <c r="A75" s="4" t="inlineStr">
        <is>
          <t>email · last chance, draw · 1</t>
        </is>
      </c>
      <c r="B75" s="8" t="inlineStr">
        <is>
          <t>This is your final opportunity to enter the draw for {work_email}, {collect_phrase} by {artist}.</t>
        </is>
      </c>
      <c r="C75" s="10">
        <f>SUBSTITUTE(SUBSTITUTE(SUBSTITUTE(B75,"{artist}",Inputs!$B$4),"{work_email}",Inputs!$B$48),"{collect_phrase}",Inputs!$B$68)</f>
        <v/>
      </c>
    </row>
    <row r="76" ht="32" customHeight="1">
      <c r="A76" s="4" t="inlineStr">
        <is>
          <t>email · last chance, draw · 2</t>
        </is>
      </c>
      <c r="B76" s="8" t="inlineStr">
        <is>
          <t>For a chance to collect, click the link below to enter the draw. The draw closes at {close_time} on {close_weekday}, {close_date_dd}.</t>
        </is>
      </c>
      <c r="C76" s="10">
        <f>SUBSTITUTE(SUBSTITUTE(SUBSTITUTE(B76,"{close_time}",Inputs!$B$65),"{close_weekday}",Inputs!$B$66),"{close_date_dd}",Inputs!$B$67)</f>
        <v/>
      </c>
    </row>
    <row r="77">
      <c r="A77" s="3" t="inlineStr">
        <is>
          <t>EMAILS · surveys (LE)</t>
        </is>
      </c>
    </row>
    <row r="78" ht="16" customHeight="1">
      <c r="A78" s="4" t="inlineStr">
        <is>
          <t>email · first-time survey · subject</t>
        </is>
      </c>
      <c r="B78" s="8" t="inlineStr">
        <is>
          <t>Congratulations on your first Avant Arte edition</t>
        </is>
      </c>
      <c r="C78" s="10">
        <f>B78</f>
        <v/>
      </c>
    </row>
    <row r="79" ht="32" customHeight="1">
      <c r="A79" s="4" t="inlineStr">
        <is>
          <t>email · first-time survey · 1</t>
        </is>
      </c>
      <c r="B79" s="8" t="inlineStr">
        <is>
          <t>Thank you for adding our collaboration with {collab_with} to your collection. Great choice!</t>
        </is>
      </c>
      <c r="C79" s="10">
        <f>SUBSTITUTE(B79,"{collab_with}",Inputs!$B$5)</f>
        <v/>
      </c>
    </row>
    <row r="80" ht="48" customHeight="1">
      <c r="A80" s="4" t="inlineStr">
        <is>
          <t>email · first-time survey · 2</t>
        </is>
      </c>
      <c r="B80" s="8" t="inlineStr">
        <is>
          <t>I'm {advisor}, an art advisor at Avant Arte. I'm here to connect collectors with artists by making suggestions, answering questions and offering early access to our collaborations.</t>
        </is>
      </c>
      <c r="C80" s="10">
        <f>SUBSTITUTE(B80,"{advisor}",Inputs!$B$24)</f>
        <v/>
      </c>
    </row>
    <row r="81" ht="32" customHeight="1">
      <c r="A81" s="4" t="inlineStr">
        <is>
          <t>email · first-time survey · 3</t>
        </is>
      </c>
      <c r="B81" s="8" t="inlineStr">
        <is>
          <t>If you have two minutes to complete a short survey about your collecting journey to date, your responses will help guide my recommendations.</t>
        </is>
      </c>
      <c r="C81" s="10">
        <f>B81</f>
        <v/>
      </c>
    </row>
    <row r="82" ht="16" customHeight="1">
      <c r="A82" s="4" t="inlineStr">
        <is>
          <t>email · first-time survey · 4</t>
        </is>
      </c>
      <c r="B82" s="8" t="inlineStr">
        <is>
          <t>Any questions? Reply to this email.</t>
        </is>
      </c>
      <c r="C82" s="10">
        <f>B82</f>
        <v/>
      </c>
    </row>
    <row r="83" ht="48" customHeight="1">
      <c r="A83" s="4" t="inlineStr">
        <is>
          <t>email · non-purchaser survey · 1</t>
        </is>
      </c>
      <c r="B83" s="8" t="inlineStr">
        <is>
          <t>As someone who registered for updates but ultimately decided not to enter the draw for our collaboration with {collab_with}, we'd love your feedback.</t>
        </is>
      </c>
      <c r="C83" s="10">
        <f>SUBSTITUTE(B83,"{collab_with}",Inputs!$B$5)</f>
        <v/>
      </c>
    </row>
    <row r="84" ht="32" customHeight="1">
      <c r="A84" s="4" t="inlineStr">
        <is>
          <t>email · non-purchaser survey · 2</t>
        </is>
      </c>
      <c r="B84" s="8" t="inlineStr">
        <is>
          <t>This two-minute survey will guide our future collaborations and help us recommend the right artists and editions for your collection.</t>
        </is>
      </c>
      <c r="C84" s="10">
        <f>B84</f>
        <v/>
      </c>
    </row>
    <row r="85" ht="48" customHeight="1">
      <c r="A85" s="4" t="inlineStr">
        <is>
          <t>email · non-purchaser survey · 3</t>
        </is>
      </c>
      <c r="B85" s="8" t="inlineStr">
        <is>
          <t>As a thank you for taking part in the survey and helping us improve the collector experience, you'll be entered into a draw to win a €500 Avant Arte gift card.</t>
        </is>
      </c>
      <c r="C85" s="10">
        <f>B85</f>
        <v/>
      </c>
    </row>
    <row r="86" ht="16" customHeight="1">
      <c r="A86" s="4" t="inlineStr">
        <is>
          <t>email · non-purchaser survey · terms</t>
        </is>
      </c>
      <c r="B86" s="8" t="inlineStr">
        <is>
          <t>You can read the terms here.</t>
        </is>
      </c>
      <c r="C86" s="10">
        <f>B86</f>
        <v/>
      </c>
    </row>
    <row r="87" ht="16" customHeight="1">
      <c r="A87" s="4" t="inlineStr">
        <is>
          <t>email · non-purchaser survey · footer</t>
        </is>
      </c>
      <c r="B87" s="8" t="inlineStr">
        <is>
          <t>What can we do better?</t>
        </is>
      </c>
      <c r="C87" s="10">
        <f>B87</f>
        <v/>
      </c>
    </row>
    <row r="88">
      <c r="A88" s="3" t="inlineStr">
        <is>
          <t>EMAILS · monthly preview</t>
        </is>
      </c>
    </row>
    <row r="89" ht="16" customHeight="1">
      <c r="A89" s="4" t="inlineStr">
        <is>
          <t>email · monthly preview · opener</t>
        </is>
      </c>
      <c r="B89" s="8" t="inlineStr">
        <is>
          <t>From {collab_with} comes {work_intro}{support}.</t>
        </is>
      </c>
      <c r="C89" s="10">
        <f>SUBSTITUTE(SUBSTITUTE(SUBSTITUTE(B89,"{collab_with}",Inputs!$B$5),"{work_intro}",Inputs!$B$50),"{support}",Inputs!$B$51)</f>
        <v/>
      </c>
    </row>
    <row r="90" ht="32" customHeight="1">
      <c r="A90" s="4" t="inlineStr">
        <is>
          <t>email · monthly preview · when, draw</t>
        </is>
      </c>
      <c r="B90" s="8" t="inlineStr">
        <is>
          <t>The edition will be allocated by a randomised draw, which closes at {close_time} on {close_date}.</t>
        </is>
      </c>
      <c r="C90" s="10">
        <f>SUBSTITUTE(SUBSTITUTE(B90,"{close_date}",Inputs!$B$64),"{close_time}",Inputs!$B$65)</f>
        <v/>
      </c>
    </row>
    <row r="91" ht="32" customHeight="1">
      <c r="A91" s="4" t="inlineStr">
        <is>
          <t>email · monthly preview · when, timed</t>
        </is>
      </c>
      <c r="B91" s="8" t="inlineStr">
        <is>
          <t>The edition will be available to collect for {window} only, from {launch_time} on {launch_weekday}, {launch_date_dd}.</t>
        </is>
      </c>
      <c r="C91" s="10">
        <f>SUBSTITUTE(SUBSTITUTE(SUBSTITUTE(SUBSTITUTE(B91,"{window}",Inputs!$B$19),"{launch_time}",Inputs!$B$61),"{launch_weekday}",Inputs!$B$62),"{launch_date_dd}",Inputs!$B$63)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18" customWidth="1" min="3" max="3"/>
    <col width="34" customWidth="1" min="4" max="4"/>
    <col width="44" customWidth="1" min="5" max="5"/>
    <col width="56" customWidth="1" min="6" max="6"/>
    <col width="44" customWidth="1" min="7" max="7"/>
    <col width="44" customWidth="1" min="8" max="8"/>
    <col width="14" customWidth="1" min="9" max="9"/>
    <col width="92" customWidth="1" min="10" max="10"/>
    <col width="11" customWidth="1" min="11" max="11"/>
  </cols>
  <sheetData>
    <row r="1">
      <c r="A1" s="1" t="inlineStr">
        <is>
          <t>The posts, assembled</t>
        </is>
      </c>
    </row>
    <row r="2">
      <c r="A2" s="2" t="inlineStr">
        <is>
          <t>Every cell below is a formula over Inputs and Lines. Skeleton: status line · substance · features line · action line · hashtag. Coming Soon opens with the bio. The Insiders account posts the same caption; Channels says which.</t>
        </is>
      </c>
    </row>
    <row r="3">
      <c r="A3" s="3" t="inlineStr">
        <is>
          <t>#</t>
        </is>
      </c>
      <c r="B3" s="3" t="inlineStr">
        <is>
          <t>Post</t>
        </is>
      </c>
      <c r="C3" s="3" t="inlineStr">
        <is>
          <t>Channels</t>
        </is>
      </c>
      <c r="D3" s="3" t="inlineStr">
        <is>
          <t>Made of</t>
        </is>
      </c>
      <c r="E3" s="3" t="inlineStr">
        <is>
          <t>Status line</t>
        </is>
      </c>
      <c r="F3" s="3" t="inlineStr">
        <is>
          <t>Substance</t>
        </is>
      </c>
      <c r="G3" s="3" t="inlineStr">
        <is>
          <t>Features line</t>
        </is>
      </c>
      <c r="H3" s="3" t="inlineStr">
        <is>
          <t>Action line</t>
        </is>
      </c>
      <c r="I3" s="3" t="inlineStr">
        <is>
          <t>Hashtag</t>
        </is>
      </c>
      <c r="J3" s="3" t="inlineStr">
        <is>
          <t>Caption</t>
        </is>
      </c>
      <c r="K3" s="3" t="inlineStr">
        <is>
          <t>Characters</t>
        </is>
      </c>
    </row>
    <row r="4" ht="190" customHeight="1">
      <c r="A4" s="11" t="n">
        <v>1</v>
      </c>
      <c r="B4" s="11" t="inlineStr">
        <is>
          <t>coming soon</t>
        </is>
      </c>
      <c r="C4" s="11" t="inlineStr">
        <is>
          <t>Main</t>
        </is>
      </c>
      <c r="D4" s="11" t="inlineStr">
        <is>
          <t>bio · status · action</t>
        </is>
      </c>
      <c r="E4" s="11">
        <f>Lines!$C$5</f>
        <v/>
      </c>
      <c r="F4" s="11">
        <f>Inputs!$B$53</f>
        <v/>
      </c>
      <c r="G4" s="11">
        <f>""</f>
        <v/>
      </c>
      <c r="H4" s="11">
        <f>Lines!$C$21</f>
        <v/>
      </c>
      <c r="I4" s="11">
        <f>""</f>
        <v/>
      </c>
      <c r="J4" s="11">
        <f>F4&amp;IF(E4="","",CHAR(10)&amp;CHAR(10)&amp;E4)&amp;IF(H4="","",CHAR(10)&amp;CHAR(10)&amp;H4)</f>
        <v/>
      </c>
      <c r="K4" s="11">
        <f>LEN(J4)</f>
        <v/>
      </c>
    </row>
    <row r="5" ht="190" customHeight="1">
      <c r="A5" s="11" t="n">
        <v>2</v>
      </c>
      <c r="B5" s="11" t="inlineStr">
        <is>
          <t>announce</t>
        </is>
      </c>
      <c r="C5" s="11" t="inlineStr">
        <is>
          <t>Main + Insiders</t>
        </is>
      </c>
      <c r="D5" s="11" t="inlineStr">
        <is>
          <t>status · hook · features + beneficiary · action · hashtag</t>
        </is>
      </c>
      <c r="E5" s="11">
        <f>IF(Inputs!$B$14="yes",Lines!$C$7,Lines!$C$6)</f>
        <v/>
      </c>
      <c r="F5" s="11">
        <f>Inputs!$B$36</f>
        <v/>
      </c>
      <c r="G5" s="11">
        <f>Lines!$C$15&amp;IF(Inputs!$B$54,"",IF(Inputs!$B$52="",""," "&amp;Lines!$C$16))</f>
        <v/>
      </c>
      <c r="H5" s="11">
        <f>IF(Inputs!$B$18="draw",Lines!$C$18,Lines!$C$17)</f>
        <v/>
      </c>
      <c r="I5" s="11">
        <f>IF(Inputs!$B$9="","",Lines!$C$22)</f>
        <v/>
      </c>
      <c r="J5" s="11">
        <f>E5&amp;IF(F5="","",CHAR(10)&amp;CHAR(10)&amp;F5)&amp;IF(G5="","",CHAR(10)&amp;CHAR(10)&amp;G5)&amp;IF(H5="","",CHAR(10)&amp;CHAR(10)&amp;H5)&amp;IF(I5="","",CHAR(10)&amp;CHAR(10)&amp;I5)</f>
        <v/>
      </c>
      <c r="K5" s="11">
        <f>LEN(J5)</f>
        <v/>
      </c>
    </row>
    <row r="6" ht="120" customHeight="1">
      <c r="A6" s="11" t="n">
        <v>3</v>
      </c>
      <c r="B6" s="11" t="inlineStr">
        <is>
          <t>sustain</t>
        </is>
      </c>
      <c r="C6" s="11" t="inlineStr">
        <is>
          <t>Main</t>
        </is>
      </c>
      <c r="D6" s="11" t="inlineStr">
        <is>
          <t>status · making · features + beneficiary · action</t>
        </is>
      </c>
      <c r="E6" s="11">
        <f>Lines!$C$8</f>
        <v/>
      </c>
      <c r="F6" s="11">
        <f>Inputs!$B$59</f>
        <v/>
      </c>
      <c r="G6" s="11">
        <f>Lines!$C$15&amp;IF(Inputs!$B$52="",""," "&amp;Lines!$C$16)</f>
        <v/>
      </c>
      <c r="H6" s="11">
        <f>IF(Inputs!$B$18="draw",Lines!$C$18,Lines!$C$17)</f>
        <v/>
      </c>
      <c r="I6" s="11">
        <f>""</f>
        <v/>
      </c>
      <c r="J6" s="11">
        <f>E6&amp;IF(F6="","",CHAR(10)&amp;CHAR(10)&amp;F6)&amp;IF(G6="","",CHAR(10)&amp;CHAR(10)&amp;G6)&amp;IF(H6="","",CHAR(10)&amp;CHAR(10)&amp;H6)</f>
        <v/>
      </c>
      <c r="K6" s="11">
        <f>LEN(J6)</f>
        <v/>
      </c>
    </row>
    <row r="7" ht="120" customHeight="1">
      <c r="A7" s="11" t="n">
        <v>4</v>
      </c>
      <c r="B7" s="11" t="inlineStr">
        <is>
          <t>sustain, the artist's words</t>
        </is>
      </c>
      <c r="C7" s="11" t="inlineStr">
        <is>
          <t>Main</t>
        </is>
      </c>
      <c r="D7" s="11" t="inlineStr">
        <is>
          <t>quote · status · features + beneficiary · action</t>
        </is>
      </c>
      <c r="E7" s="11">
        <f>IF(Inputs!$B$39="","(no quote given, post skipped)",Lines!$C$9)</f>
        <v/>
      </c>
      <c r="F7" s="11">
        <f>IF(Inputs!$B$39="","",Lines!$C$10)</f>
        <v/>
      </c>
      <c r="G7" s="11">
        <f>IF(Inputs!$B$39="","",Lines!$C$15&amp;IF(Inputs!$B$52="",""," "&amp;Lines!$C$16))</f>
        <v/>
      </c>
      <c r="H7" s="11">
        <f>IF(Inputs!$B$39="","",IF(Inputs!$B$18="draw",Lines!$C$18,Lines!$C$17))</f>
        <v/>
      </c>
      <c r="I7" s="11">
        <f>""</f>
        <v/>
      </c>
      <c r="J7" s="11">
        <f>IF(Inputs!$B$39="","(no quote given, post skipped)",E7&amp;IF(F7="","",CHAR(10)&amp;CHAR(10)&amp;F7)&amp;IF(G7="","",CHAR(10)&amp;CHAR(10)&amp;G7)&amp;IF(H7="","",CHAR(10)&amp;CHAR(10)&amp;H7))</f>
        <v/>
      </c>
      <c r="K7" s="11">
        <f>LEN(J7)</f>
        <v/>
      </c>
    </row>
    <row r="8" ht="120" customHeight="1">
      <c r="A8" s="11" t="n">
        <v>5</v>
      </c>
      <c r="B8" s="11" t="inlineStr">
        <is>
          <t>live (timed only)</t>
        </is>
      </c>
      <c r="C8" s="11" t="inlineStr">
        <is>
          <t>Main + Insiders</t>
        </is>
      </c>
      <c r="D8" s="11" t="inlineStr">
        <is>
          <t>status · features + beneficiary · action</t>
        </is>
      </c>
      <c r="E8" s="11">
        <f>IF(Inputs!$B$18="draw","(not used for a draw)",Lines!$C$11)</f>
        <v/>
      </c>
      <c r="F8" s="11">
        <f>""</f>
        <v/>
      </c>
      <c r="G8" s="11">
        <f>IF(Inputs!$B$18="draw","",Lines!$C$15&amp;IF(Inputs!$B$52="",""," "&amp;Lines!$C$16))</f>
        <v/>
      </c>
      <c r="H8" s="11">
        <f>IF(Inputs!$B$18="draw","",IF(Inputs!$B$18="draw",Lines!$C$20,Lines!$C$19))</f>
        <v/>
      </c>
      <c r="I8" s="11">
        <f>""</f>
        <v/>
      </c>
      <c r="J8" s="11">
        <f>IF(Inputs!$B$18="draw","(not used for a draw)",E8&amp;IF(G8="","",CHAR(10)&amp;CHAR(10)&amp;G8)&amp;IF(H8="","",CHAR(10)&amp;CHAR(10)&amp;H8))</f>
        <v/>
      </c>
      <c r="K8" s="11">
        <f>LEN(J8)</f>
        <v/>
      </c>
    </row>
    <row r="9" ht="120" customHeight="1">
      <c r="A9" s="11" t="n">
        <v>6</v>
      </c>
      <c r="B9" s="11" t="inlineStr">
        <is>
          <t>still time (timed only)</t>
        </is>
      </c>
      <c r="C9" s="11" t="inlineStr">
        <is>
          <t>Main + Insiders (the plan's Halfway through)</t>
        </is>
      </c>
      <c r="D9" s="11" t="inlineStr">
        <is>
          <t>status · features + beneficiary · action</t>
        </is>
      </c>
      <c r="E9" s="11">
        <f>IF(Inputs!$B$18="draw","(not used for a draw)",Lines!$C$12)</f>
        <v/>
      </c>
      <c r="F9" s="11">
        <f>""</f>
        <v/>
      </c>
      <c r="G9" s="11">
        <f>IF(Inputs!$B$18="draw","",Lines!$C$15&amp;IF(Inputs!$B$52="",""," "&amp;Lines!$C$16))</f>
        <v/>
      </c>
      <c r="H9" s="11">
        <f>IF(Inputs!$B$18="draw","",IF(Inputs!$B$18="draw",Lines!$C$20,Lines!$C$19))</f>
        <v/>
      </c>
      <c r="I9" s="11">
        <f>""</f>
        <v/>
      </c>
      <c r="J9" s="11">
        <f>IF(Inputs!$B$18="draw","(not used for a draw)",E9&amp;IF(G9="","",CHAR(10)&amp;CHAR(10)&amp;G9)&amp;IF(H9="","",CHAR(10)&amp;CHAR(10)&amp;H9))</f>
        <v/>
      </c>
      <c r="K9" s="11">
        <f>LEN(J9)</f>
        <v/>
      </c>
    </row>
    <row r="10" ht="120" customHeight="1">
      <c r="A10" s="11" t="n">
        <v>7</v>
      </c>
      <c r="B10" s="11" t="inlineStr">
        <is>
          <t>last chance</t>
        </is>
      </c>
      <c r="C10" s="11" t="inlineStr">
        <is>
          <t>Main</t>
        </is>
      </c>
      <c r="D10" s="11" t="inlineStr">
        <is>
          <t>status · features + beneficiary · action</t>
        </is>
      </c>
      <c r="E10" s="11">
        <f>IF(Inputs!$B$18="draw",Lines!$C$14,Lines!$C$13)</f>
        <v/>
      </c>
      <c r="F10" s="11">
        <f>""</f>
        <v/>
      </c>
      <c r="G10" s="11">
        <f>Lines!$C$15&amp;IF(Inputs!$B$52="",""," "&amp;Lines!$C$16)</f>
        <v/>
      </c>
      <c r="H10" s="11">
        <f>IF(Inputs!$B$18="draw",Lines!$C$20,Lines!$C$19)</f>
        <v/>
      </c>
      <c r="I10" s="11">
        <f>""</f>
        <v/>
      </c>
      <c r="J10" s="11">
        <f>E10&amp;IF(G10="","",CHAR(10)&amp;CHAR(10)&amp;G10)&amp;IF(H10="","",CHAR(10)&amp;CHAR(10)&amp;H10)</f>
        <v/>
      </c>
      <c r="K10" s="11">
        <f>LEN(J10)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30" customWidth="1" min="3" max="3"/>
    <col width="50" customWidth="1" min="4" max="4"/>
    <col width="56" customWidth="1" min="5" max="5"/>
    <col width="36" customWidth="1" min="6" max="6"/>
    <col width="50" customWidth="1" min="7" max="7"/>
    <col width="80" customWidth="1" min="8" max="8"/>
    <col width="11" customWidth="1" min="9" max="9"/>
  </cols>
  <sheetData>
    <row r="1">
      <c r="A1" s="1" t="inlineStr">
        <is>
          <t>The tweets, assembled</t>
        </is>
      </c>
    </row>
    <row r="2">
      <c r="A2" s="2" t="inlineStr">
        <is>
          <t>The post's status line with the X handle, the hook on the announcement only, the beneficiary named once, and an action line that ends with the link. No features line, no hashtag, no bio.</t>
        </is>
      </c>
    </row>
    <row r="3">
      <c r="A3" s="3" t="inlineStr">
        <is>
          <t>#</t>
        </is>
      </c>
      <c r="B3" s="3" t="inlineStr">
        <is>
          <t>Tweet</t>
        </is>
      </c>
      <c r="C3" s="3" t="inlineStr">
        <is>
          <t>Made of</t>
        </is>
      </c>
      <c r="D3" s="3" t="inlineStr">
        <is>
          <t>Status line</t>
        </is>
      </c>
      <c r="E3" s="3" t="inlineStr">
        <is>
          <t>Substance</t>
        </is>
      </c>
      <c r="F3" s="3" t="inlineStr">
        <is>
          <t>Beneficiary line</t>
        </is>
      </c>
      <c r="G3" s="3" t="inlineStr">
        <is>
          <t>Action line</t>
        </is>
      </c>
      <c r="H3" s="3" t="inlineStr">
        <is>
          <t>Tweet</t>
        </is>
      </c>
      <c r="I3" s="3" t="inlineStr">
        <is>
          <t>Characters</t>
        </is>
      </c>
    </row>
    <row r="4" ht="80" customHeight="1">
      <c r="A4" s="11" t="n">
        <v>1</v>
      </c>
      <c r="B4" s="11" t="inlineStr">
        <is>
          <t>coming soon</t>
        </is>
      </c>
      <c r="C4" s="11" t="inlineStr">
        <is>
          <t>status · action</t>
        </is>
      </c>
      <c r="D4" s="11">
        <f>Lines!$C$24</f>
        <v/>
      </c>
      <c r="E4" s="11">
        <f>""</f>
        <v/>
      </c>
      <c r="F4" s="11">
        <f>""</f>
        <v/>
      </c>
      <c r="G4" s="11">
        <f>Lines!$C$25</f>
        <v/>
      </c>
      <c r="H4" s="11">
        <f>D4&amp;IF(G4="","",CHAR(10)&amp;CHAR(10)&amp;G4)</f>
        <v/>
      </c>
      <c r="I4" s="11">
        <f>LEN(H4)</f>
        <v/>
      </c>
    </row>
    <row r="5" ht="150" customHeight="1">
      <c r="A5" s="11" t="n">
        <v>2</v>
      </c>
      <c r="B5" s="11" t="inlineStr">
        <is>
          <t>announce</t>
        </is>
      </c>
      <c r="C5" s="11" t="inlineStr">
        <is>
          <t>status · hook · beneficiary · action</t>
        </is>
      </c>
      <c r="D5" s="11">
        <f>SUBSTITUTE(IF(Inputs!$B$14="yes",Lines!$C$7,Lines!$C$6),Inputs!$B$42,Inputs!$B$43)</f>
        <v/>
      </c>
      <c r="E5" s="11">
        <f>Inputs!$B$36</f>
        <v/>
      </c>
      <c r="F5" s="11">
        <f>IF(OR(Inputs!$B$22="",Inputs!$B$54),"",Lines!$C$26)</f>
        <v/>
      </c>
      <c r="G5" s="11">
        <f>IF(Inputs!$B$18="draw",Lines!$C$28,Lines!$C$27)</f>
        <v/>
      </c>
      <c r="H5" s="11">
        <f>D5&amp;IF(E5="","",CHAR(10)&amp;CHAR(10)&amp;E5)&amp;IF(F5="","",CHAR(10)&amp;CHAR(10)&amp;F5)&amp;IF(G5="","",CHAR(10)&amp;CHAR(10)&amp;G5)</f>
        <v/>
      </c>
      <c r="I5" s="11">
        <f>LEN(H5)</f>
        <v/>
      </c>
    </row>
    <row r="6" ht="80" customHeight="1">
      <c r="A6" s="11" t="n">
        <v>3</v>
      </c>
      <c r="B6" s="11" t="inlineStr">
        <is>
          <t>live (timed only)</t>
        </is>
      </c>
      <c r="C6" s="11" t="inlineStr">
        <is>
          <t>status · action</t>
        </is>
      </c>
      <c r="D6" s="11">
        <f>IF(Inputs!$B$18="draw","(not used for a draw)",SUBSTITUTE(Lines!$C$11,Inputs!$B$42,Inputs!$B$43))</f>
        <v/>
      </c>
      <c r="E6" s="11">
        <f>""</f>
        <v/>
      </c>
      <c r="F6" s="11">
        <f>""</f>
        <v/>
      </c>
      <c r="G6" s="11">
        <f>IF(Inputs!$B$18="draw","",IF(Inputs!$B$18="draw",Lines!$C$28,Lines!$C$29))</f>
        <v/>
      </c>
      <c r="H6" s="11">
        <f>IF(Inputs!$B$18="draw","(not used for a draw)",D6&amp;IF(G6="","",CHAR(10)&amp;CHAR(10)&amp;G6))</f>
        <v/>
      </c>
      <c r="I6" s="11">
        <f>LEN(H6)</f>
        <v/>
      </c>
    </row>
    <row r="7" ht="80" customHeight="1">
      <c r="A7" s="11" t="n">
        <v>4</v>
      </c>
      <c r="B7" s="11" t="inlineStr">
        <is>
          <t>still time (timed only)</t>
        </is>
      </c>
      <c r="C7" s="11" t="inlineStr">
        <is>
          <t>status · action</t>
        </is>
      </c>
      <c r="D7" s="11">
        <f>IF(Inputs!$B$18="draw","(not used for a draw)",SUBSTITUTE(Lines!$C$12,Inputs!$B$42,Inputs!$B$43))</f>
        <v/>
      </c>
      <c r="E7" s="11">
        <f>""</f>
        <v/>
      </c>
      <c r="F7" s="11">
        <f>""</f>
        <v/>
      </c>
      <c r="G7" s="11">
        <f>IF(Inputs!$B$18="draw","",IF(Inputs!$B$18="draw",Lines!$C$28,Lines!$C$29))</f>
        <v/>
      </c>
      <c r="H7" s="11">
        <f>IF(Inputs!$B$18="draw","(not used for a draw)",D7&amp;IF(G7="","",CHAR(10)&amp;CHAR(10)&amp;G7))</f>
        <v/>
      </c>
      <c r="I7" s="11">
        <f>LEN(H7)</f>
        <v/>
      </c>
    </row>
    <row r="8" ht="80" customHeight="1">
      <c r="A8" s="11" t="n">
        <v>5</v>
      </c>
      <c r="B8" s="11" t="inlineStr">
        <is>
          <t>last chance</t>
        </is>
      </c>
      <c r="C8" s="11" t="inlineStr">
        <is>
          <t>status · action</t>
        </is>
      </c>
      <c r="D8" s="11">
        <f>IF(Inputs!$B$18="draw",SUBSTITUTE(Lines!$C$14,Inputs!$B$42,Inputs!$B$43),SUBSTITUTE(Lines!$C$13,Inputs!$B$42,Inputs!$B$43))</f>
        <v/>
      </c>
      <c r="E8" s="11">
        <f>""</f>
        <v/>
      </c>
      <c r="F8" s="11">
        <f>""</f>
        <v/>
      </c>
      <c r="G8" s="11">
        <f>IF(Inputs!$B$18="draw",Lines!$C$28,Lines!$C$29)</f>
        <v/>
      </c>
      <c r="H8" s="11">
        <f>D8&amp;IF(G8="","",CHAR(10)&amp;CHAR(10)&amp;G8)</f>
        <v/>
      </c>
      <c r="I8" s="11">
        <f>LEN(H8)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6" customWidth="1" min="4" max="4"/>
    <col width="34" customWidth="1" min="5" max="5"/>
    <col width="30" customWidth="1" min="6" max="6"/>
    <col width="22" customWidth="1" min="7" max="7"/>
    <col width="26" customWidth="1" min="8" max="8"/>
    <col width="90" customWidth="1" min="9" max="9"/>
    <col width="16" customWidth="1" min="10" max="10"/>
    <col width="30" customWidth="1" min="11" max="11"/>
    <col width="34" customWidth="1" min="12" max="12"/>
    <col width="26" customWidth="1" min="13" max="13"/>
    <col width="96" customWidth="1" min="14" max="14"/>
    <col width="11" customWidth="1" min="15" max="15"/>
  </cols>
  <sheetData>
    <row r="1">
      <c r="A1" s="1" t="inlineStr">
        <is>
          <t>The emails, assembled</t>
        </is>
      </c>
    </row>
    <row r="2">
      <c r="A2" s="2" t="inlineStr">
        <is>
          <t>Every cell below is a formula over Inputs and Lines. Body paragraphs are the fixed sentences with the same hook, making and quote dropped in. The 'Used?' column says when a row does not apply to this release.</t>
        </is>
      </c>
    </row>
    <row r="3">
      <c r="A3" s="3" t="inlineStr">
        <is>
          <t>#</t>
        </is>
      </c>
      <c r="B3" s="3" t="inlineStr">
        <is>
          <t>Email (comms plan name)</t>
        </is>
      </c>
      <c r="C3" s="3" t="inlineStr">
        <is>
          <t>For</t>
        </is>
      </c>
      <c r="D3" s="3" t="inlineStr">
        <is>
          <t>Used?</t>
        </is>
      </c>
      <c r="E3" s="3" t="inlineStr">
        <is>
          <t>Subject</t>
        </is>
      </c>
      <c r="F3" s="3" t="inlineStr">
        <is>
          <t>Preview</t>
        </is>
      </c>
      <c r="G3" s="3" t="inlineStr">
        <is>
          <t>Kicker</t>
        </is>
      </c>
      <c r="H3" s="3" t="inlineStr">
        <is>
          <t>Headline</t>
        </is>
      </c>
      <c r="I3" s="3" t="inlineStr">
        <is>
          <t>Body</t>
        </is>
      </c>
      <c r="J3" s="3" t="inlineStr">
        <is>
          <t>CTA</t>
        </is>
      </c>
      <c r="K3" s="3" t="inlineStr">
        <is>
          <t>Card</t>
        </is>
      </c>
      <c r="L3" s="3" t="inlineStr">
        <is>
          <t>Quote</t>
        </is>
      </c>
      <c r="M3" s="3" t="inlineStr">
        <is>
          <t>Footer</t>
        </is>
      </c>
      <c r="N3" s="3" t="inlineStr">
        <is>
          <t>Full email, ready to paste</t>
        </is>
      </c>
      <c r="O3" s="3" t="inlineStr">
        <is>
          <t>Characters</t>
        </is>
      </c>
    </row>
    <row r="4" ht="300" customHeight="1">
      <c r="A4" s="11" t="n">
        <v>1</v>
      </c>
      <c r="B4" s="11" t="inlineStr">
        <is>
          <t>Announcement (TL Non-flow) · Announcement (LE)</t>
        </is>
      </c>
      <c r="C4" s="11" t="inlineStr">
        <is>
          <t>both</t>
        </is>
      </c>
      <c r="D4" s="11">
        <f>"yes"</f>
        <v/>
      </c>
      <c r="E4" s="11">
        <f>IF($D4&lt;&gt;"yes","",Lines!$C$39)</f>
        <v/>
      </c>
      <c r="F4" s="11">
        <f>IF($D4&lt;&gt;"yes","",IF(Inputs!$B$18="draw","Enter the draw for a chance to collect. Closes "&amp;Inputs!$B$64&amp;".","Launching "&amp;Inputs!$B$60&amp;". Register for updates."))</f>
        <v/>
      </c>
      <c r="G4" s="11">
        <f>IF($D4&lt;&gt;"yes","",IF(Inputs!$B$18="draw","Enter the draw","Launching "&amp;Inputs!$B$60))</f>
        <v/>
      </c>
      <c r="H4" s="11">
        <f>IF($D4&lt;&gt;"yes","",IF(Inputs!$B$18="draw",Inputs!$B$49,Inputs!$B$49&amp;" by "&amp;Inputs!$B$4))</f>
        <v/>
      </c>
      <c r="I4" s="11">
        <f>IF($D4&lt;&gt;"yes","",(Lines!$C$40&amp;IF(Inputs!$B$36="","",CHAR(10)&amp;CHAR(10)&amp;Inputs!$B$36)&amp;IF(Inputs!$B$58="","",CHAR(10)&amp;CHAR(10)&amp;Inputs!$B$58)&amp;IF(Inputs!$B$56="","",CHAR(10)&amp;CHAR(10)&amp;Inputs!$B$56)&amp;IF(IF(Inputs!$B$18="draw",Lines!$C$33,(Lines!$C$41&amp;IF(Lines!$C$42="","",CHAR(10)&amp;CHAR(10)&amp;Lines!$C$42)))="","",CHAR(10)&amp;CHAR(10)&amp;IF(Inputs!$B$18="draw",Lines!$C$33,(Lines!$C$41&amp;IF(Lines!$C$42="","",CHAR(10)&amp;CHAR(10)&amp;Lines!$C$42))))))</f>
        <v/>
      </c>
      <c r="J4" s="11">
        <f>IF($D4&lt;&gt;"yes","",IF(Inputs!$B$18="draw","Enter the draw","Discover the collaboration"))</f>
        <v/>
      </c>
      <c r="K4" s="11">
        <f>IF($D4&lt;&gt;"yes","",Inputs!$B$72)</f>
        <v/>
      </c>
      <c r="L4" s="11">
        <f>IF($D4&lt;&gt;"yes","",Inputs!$B$73)</f>
        <v/>
      </c>
      <c r="M4" s="11">
        <f>IF($D4&lt;&gt;"yes","",IF(Inputs!$B$18="draw","Collect "&amp;Inputs!$B$68,"Launching "&amp;Inputs!$B$60))</f>
        <v/>
      </c>
      <c r="N4" s="11">
        <f>IF(D4&lt;&gt;"yes",D4,IF(E4="","","Subject: "&amp;E4)&amp;IF(F4="","",CHAR(10)&amp;"Preview: "&amp;F4)&amp;IF(G4="","",CHAR(10)&amp;"Kicker: "&amp;G4)&amp;IF(H4="","",CHAR(10)&amp;"Headline: "&amp;H4)&amp;IF(I4="","",IF(E4&amp;F4&amp;G4&amp;H4="","",CHAR(10)&amp;CHAR(10))&amp;I4)&amp;IF(J4="","",CHAR(10)&amp;CHAR(10)&amp;"CTA: "&amp;J4)&amp;IF(K4="","",CHAR(10)&amp;CHAR(10)&amp;"Card: "&amp;K4)&amp;IF(L4="","",CHAR(10)&amp;CHAR(10)&amp;"Quote: "&amp;L4)&amp;IF(M4="","",CHAR(10)&amp;CHAR(10)&amp;"Footer: "&amp;M4))</f>
        <v/>
      </c>
      <c r="O4" s="11">
        <f>LEN(N4)</f>
        <v/>
      </c>
    </row>
    <row r="5" ht="300" customHeight="1">
      <c r="A5" s="11" t="n">
        <v>2</v>
      </c>
      <c r="B5" s="11" t="inlineStr">
        <is>
          <t>Welcome (TL Flow)</t>
        </is>
      </c>
      <c r="C5" s="11" t="inlineStr">
        <is>
          <t>timed</t>
        </is>
      </c>
      <c r="D5" s="11">
        <f>IF(Inputs!$B$18="draw","(not used for a draw)","yes")</f>
        <v/>
      </c>
      <c r="E5" s="11">
        <f>IF($D5&lt;&gt;"yes","","Welcome to Avant Arte")</f>
        <v/>
      </c>
      <c r="F5" s="11">
        <f>IF($D5&lt;&gt;"yes","","Where the art world is more accessible.")</f>
        <v/>
      </c>
      <c r="G5" s="11">
        <f>""</f>
        <v/>
      </c>
      <c r="H5" s="11">
        <f>""</f>
        <v/>
      </c>
      <c r="I5" s="11">
        <f>IF($D5&lt;&gt;"yes","",(Lines!$C$44&amp;IF(Lines!$C$45="","",CHAR(10)&amp;CHAR(10)&amp;Lines!$C$45)&amp;IF(Lines!$C$46="","",CHAR(10)&amp;CHAR(10)&amp;Lines!$C$46)&amp;IF(Lines!$C$47="","",CHAR(10)&amp;CHAR(10)&amp;Lines!$C$47)))</f>
        <v/>
      </c>
      <c r="J5" s="11">
        <f>IF($D5&lt;&gt;"yes","","Complete collector profile")</f>
        <v/>
      </c>
      <c r="K5" s="11">
        <f>""</f>
        <v/>
      </c>
      <c r="L5" s="11">
        <f>""</f>
        <v/>
      </c>
      <c r="M5" s="11">
        <f>IF($D5&lt;&gt;"yes","","Where the art world is more accessible")</f>
        <v/>
      </c>
      <c r="N5" s="11">
        <f>IF(D5&lt;&gt;"yes",D5,IF(E5="","","Subject: "&amp;E5)&amp;IF(F5="","",CHAR(10)&amp;"Preview: "&amp;F5)&amp;IF(G5="","",CHAR(10)&amp;"Kicker: "&amp;G5)&amp;IF(H5="","",CHAR(10)&amp;"Headline: "&amp;H5)&amp;IF(I5="","",IF(E5&amp;F5&amp;G5&amp;H5="","",CHAR(10)&amp;CHAR(10))&amp;I5)&amp;IF(J5="","",CHAR(10)&amp;CHAR(10)&amp;"CTA: "&amp;J5)&amp;IF(K5="","",CHAR(10)&amp;CHAR(10)&amp;"Card: "&amp;K5)&amp;IF(L5="","",CHAR(10)&amp;CHAR(10)&amp;"Quote: "&amp;L5)&amp;IF(M5="","",CHAR(10)&amp;CHAR(10)&amp;"Footer: "&amp;M5))</f>
        <v/>
      </c>
      <c r="O5" s="11">
        <f>LEN(N5)</f>
        <v/>
      </c>
    </row>
    <row r="6" ht="300" customHeight="1">
      <c r="A6" s="11" t="n">
        <v>3</v>
      </c>
      <c r="B6" s="11" t="inlineStr">
        <is>
          <t>Early Access (TL Flow)</t>
        </is>
      </c>
      <c r="C6" s="11" t="inlineStr">
        <is>
          <t>timed</t>
        </is>
      </c>
      <c r="D6" s="11">
        <f>IF(Inputs!$B$18="draw","(not used for a draw)","yes")</f>
        <v/>
      </c>
      <c r="E6" s="11">
        <f>IF($D6&lt;&gt;"yes","",Inputs!$B$4&amp;" – Early access 🔓")</f>
        <v/>
      </c>
      <c r="F6" s="11">
        <f>IF($D6&lt;&gt;"yes","","Collect 24 hours before everyone else.")</f>
        <v/>
      </c>
      <c r="G6" s="11">
        <f>""</f>
        <v/>
      </c>
      <c r="H6" s="11">
        <f>""</f>
        <v/>
      </c>
      <c r="I6" s="11">
        <f>IF($D6&lt;&gt;"yes","",(Lines!$C$31&amp;IF(Lines!$C$49="","",CHAR(10)&amp;CHAR(10)&amp;Lines!$C$49)&amp;IF(Inputs!$B$36="","",CHAR(10)&amp;CHAR(10)&amp;Inputs!$B$36)&amp;IF(Inputs!$B$57="","",CHAR(10)&amp;CHAR(10)&amp;Inputs!$B$57)&amp;IF(Lines!$C$50="","",CHAR(10)&amp;CHAR(10)&amp;Lines!$C$50)&amp;IF(IF(Inputs!$B$26="","",Lines!$C$36)="","",CHAR(10)&amp;CHAR(10)&amp;IF(Inputs!$B$26="","",Lines!$C$36))&amp;IF(Lines!$C$52="","",CHAR(10)&amp;CHAR(10)&amp;Lines!$C$52)))</f>
        <v/>
      </c>
      <c r="J6" s="11">
        <f>IF($D6&lt;&gt;"yes","","Unlock early access")</f>
        <v/>
      </c>
      <c r="K6" s="11">
        <f>""</f>
        <v/>
      </c>
      <c r="L6" s="11">
        <f>""</f>
        <v/>
      </c>
      <c r="M6" s="11">
        <f>IF($D6&lt;&gt;"yes","","24 hours ahead of the public launch")</f>
        <v/>
      </c>
      <c r="N6" s="11">
        <f>IF(D6&lt;&gt;"yes",D6,IF(E6="","","Subject: "&amp;E6)&amp;IF(F6="","",CHAR(10)&amp;"Preview: "&amp;F6)&amp;IF(G6="","",CHAR(10)&amp;"Kicker: "&amp;G6)&amp;IF(H6="","",CHAR(10)&amp;"Headline: "&amp;H6)&amp;IF(I6="","",IF(E6&amp;F6&amp;G6&amp;H6="","",CHAR(10)&amp;CHAR(10))&amp;I6)&amp;IF(J6="","",CHAR(10)&amp;CHAR(10)&amp;"CTA: "&amp;J6)&amp;IF(K6="","",CHAR(10)&amp;CHAR(10)&amp;"Card: "&amp;K6)&amp;IF(L6="","",CHAR(10)&amp;CHAR(10)&amp;"Quote: "&amp;L6)&amp;IF(M6="","",CHAR(10)&amp;CHAR(10)&amp;"Footer: "&amp;M6))</f>
        <v/>
      </c>
      <c r="O6" s="11">
        <f>LEN(N6)</f>
        <v/>
      </c>
    </row>
    <row r="7" ht="300" customHeight="1">
      <c r="A7" s="11" t="n">
        <v>4</v>
      </c>
      <c r="B7" s="11" t="inlineStr">
        <is>
          <t>Early access (TL Artist PP Non Flow)</t>
        </is>
      </c>
      <c r="C7" s="11" t="inlineStr">
        <is>
          <t>timed</t>
        </is>
      </c>
      <c r="D7" s="11">
        <f>IF(Inputs!$B$18="draw","(not used for a draw)","yes")</f>
        <v/>
      </c>
      <c r="E7" s="11">
        <f>IF($D7&lt;&gt;"yes","",Inputs!$B$4&amp;" – Early access for past collectors")</f>
        <v/>
      </c>
      <c r="F7" s="11">
        <f>IF($D7&lt;&gt;"yes","","Order before everyone else.")</f>
        <v/>
      </c>
      <c r="G7" s="11">
        <f>""</f>
        <v/>
      </c>
      <c r="H7" s="11">
        <f>""</f>
        <v/>
      </c>
      <c r="I7" s="11">
        <f>IF($D7&lt;&gt;"yes","",(Lines!$C$31&amp;IF(Lines!$C$49="","",CHAR(10)&amp;CHAR(10)&amp;Lines!$C$49)&amp;IF(Inputs!$B$36="","",CHAR(10)&amp;CHAR(10)&amp;Inputs!$B$36)&amp;IF(Inputs!$B$57="","",CHAR(10)&amp;CHAR(10)&amp;Inputs!$B$57)&amp;IF(Lines!$C$51="","",CHAR(10)&amp;CHAR(10)&amp;Lines!$C$51)&amp;IF(Lines!$C$52="","",CHAR(10)&amp;CHAR(10)&amp;Lines!$C$52)&amp;IF(Lines!$C$34="","",CHAR(10)&amp;CHAR(10)&amp;Lines!$C$34)&amp;IF(Lines!$C$32="","",CHAR(10)&amp;CHAR(10)&amp;Lines!$C$32)))</f>
        <v/>
      </c>
      <c r="J7" s="11">
        <f>IF($D7&lt;&gt;"yes","","Unlock early access")</f>
        <v/>
      </c>
      <c r="K7" s="11">
        <f>IF($D7&lt;&gt;"yes","",Inputs!$B$72)</f>
        <v/>
      </c>
      <c r="L7" s="11">
        <f>""</f>
        <v/>
      </c>
      <c r="M7" s="11">
        <f>IF($D7&lt;&gt;"yes","","24 hours ahead of the public launch")</f>
        <v/>
      </c>
      <c r="N7" s="11">
        <f>IF(D7&lt;&gt;"yes",D7,IF(E7="","","Subject: "&amp;E7)&amp;IF(F7="","",CHAR(10)&amp;"Preview: "&amp;F7)&amp;IF(G7="","",CHAR(10)&amp;"Kicker: "&amp;G7)&amp;IF(H7="","",CHAR(10)&amp;"Headline: "&amp;H7)&amp;IF(I7="","",IF(E7&amp;F7&amp;G7&amp;H7="","",CHAR(10)&amp;CHAR(10))&amp;I7)&amp;IF(J7="","",CHAR(10)&amp;CHAR(10)&amp;"CTA: "&amp;J7)&amp;IF(K7="","",CHAR(10)&amp;CHAR(10)&amp;"Card: "&amp;K7)&amp;IF(L7="","",CHAR(10)&amp;CHAR(10)&amp;"Quote: "&amp;L7)&amp;IF(M7="","",CHAR(10)&amp;CHAR(10)&amp;"Footer: "&amp;M7))</f>
        <v/>
      </c>
      <c r="O7" s="11">
        <f>LEN(N7)</f>
        <v/>
      </c>
    </row>
    <row r="8" ht="300" customHeight="1">
      <c r="A8" s="11" t="n">
        <v>5</v>
      </c>
      <c r="B8" s="11" t="inlineStr">
        <is>
          <t>Early Access (TL Insiders) · Early Access (LE Insiders), signed by the advisor</t>
        </is>
      </c>
      <c r="C8" s="11" t="inlineStr">
        <is>
          <t>both</t>
        </is>
      </c>
      <c r="D8" s="11">
        <f>"yes"</f>
        <v/>
      </c>
      <c r="E8" s="11">
        <f>IF($D8&lt;&gt;"yes","",Inputs!$B$4&amp;" – Early access for Insiders 🔓")</f>
        <v/>
      </c>
      <c r="F8" s="11">
        <f>IF($D8&lt;&gt;"yes","",IF(Inputs!$B$18="draw","A first look, plus early access to a limited number of pre-orders.","Collect 24 hours before everyone else."))</f>
        <v/>
      </c>
      <c r="G8" s="11">
        <f>""</f>
        <v/>
      </c>
      <c r="H8" s="11">
        <f>""</f>
        <v/>
      </c>
      <c r="I8" s="11">
        <f>IF($D8&lt;&gt;"yes","",(Lines!$C$31&amp;IF(Lines!$C$56="","",CHAR(10)&amp;CHAR(10)&amp;Lines!$C$56)&amp;IF(Inputs!$B$36="","",CHAR(10)&amp;CHAR(10)&amp;Inputs!$B$36)&amp;IF(IF(Inputs!$B$18="draw",Lines!$C$57,Lines!$C$58)="","",CHAR(10)&amp;CHAR(10)&amp;IF(Inputs!$B$18="draw",Lines!$C$57,Lines!$C$58))&amp;IF(IF(Inputs!$B$18="draw",Lines!$C$59,Lines!$C$60)="","",CHAR(10)&amp;CHAR(10)&amp;IF(Inputs!$B$18="draw",Lines!$C$59,Lines!$C$60))&amp;IF(Lines!$C$32="","",CHAR(10)&amp;CHAR(10)&amp;Lines!$C$32)&amp;IF(Lines!$C$61="","",CHAR(10)&amp;CHAR(10)&amp;Lines!$C$61)))</f>
        <v/>
      </c>
      <c r="J8" s="11">
        <f>IF($D8&lt;&gt;"yes","","Unlock early access")</f>
        <v/>
      </c>
      <c r="K8" s="11">
        <f>IF($D8&lt;&gt;"yes","",Inputs!$B$72)</f>
        <v/>
      </c>
      <c r="L8" s="11">
        <f>""</f>
        <v/>
      </c>
      <c r="M8" s="11">
        <f>IF($D8&lt;&gt;"yes","",IF(Inputs!$B$18="draw","Especially for you.","24 hours ahead of the public launch"))</f>
        <v/>
      </c>
      <c r="N8" s="11">
        <f>IF(D8&lt;&gt;"yes",D8,IF(E8="","","Subject: "&amp;E8)&amp;IF(F8="","",CHAR(10)&amp;"Preview: "&amp;F8)&amp;IF(G8="","",CHAR(10)&amp;"Kicker: "&amp;G8)&amp;IF(H8="","",CHAR(10)&amp;"Headline: "&amp;H8)&amp;IF(I8="","",IF(E8&amp;F8&amp;G8&amp;H8="","",CHAR(10)&amp;CHAR(10))&amp;I8)&amp;IF(J8="","",CHAR(10)&amp;CHAR(10)&amp;"CTA: "&amp;J8)&amp;IF(K8="","",CHAR(10)&amp;CHAR(10)&amp;"Card: "&amp;K8)&amp;IF(L8="","",CHAR(10)&amp;CHAR(10)&amp;"Quote: "&amp;L8)&amp;IF(M8="","",CHAR(10)&amp;CHAR(10)&amp;"Footer: "&amp;M8))</f>
        <v/>
      </c>
      <c r="O8" s="11">
        <f>LEN(N8)</f>
        <v/>
      </c>
    </row>
    <row r="9" ht="300" customHeight="1">
      <c r="A9" s="11" t="n">
        <v>6</v>
      </c>
      <c r="B9" s="11" t="inlineStr">
        <is>
          <t>Early/Exclusive access (LE)</t>
        </is>
      </c>
      <c r="C9" s="11" t="inlineStr">
        <is>
          <t>draw</t>
        </is>
      </c>
      <c r="D9" s="11">
        <f>IF(Inputs!$B$18="draw","yes","(not used for a timed edition)")</f>
        <v/>
      </c>
      <c r="E9" s="11">
        <f>IF($D9&lt;&gt;"yes","",Inputs!$B$4&amp;" – Early access 🔓")</f>
        <v/>
      </c>
      <c r="F9" s="11">
        <f>IF($D9&lt;&gt;"yes","","A first look, plus access to a limited number of pre-orders.")</f>
        <v/>
      </c>
      <c r="G9" s="11">
        <f>""</f>
        <v/>
      </c>
      <c r="H9" s="11">
        <f>""</f>
        <v/>
      </c>
      <c r="I9" s="11">
        <f>IF($D9&lt;&gt;"yes","",(Lines!$C$31&amp;IF(Lines!$C$53="","",CHAR(10)&amp;CHAR(10)&amp;Lines!$C$53)&amp;IF(Inputs!$B$36="","",CHAR(10)&amp;CHAR(10)&amp;Inputs!$B$36)&amp;IF(Lines!$C$54="","",CHAR(10)&amp;CHAR(10)&amp;Lines!$C$54)&amp;IF(Lines!$C$55="","",CHAR(10)&amp;CHAR(10)&amp;Lines!$C$55)&amp;IF(Lines!$C$34="","",CHAR(10)&amp;CHAR(10)&amp;Lines!$C$34)&amp;IF(Lines!$C$32="","",CHAR(10)&amp;CHAR(10)&amp;Lines!$C$32)))</f>
        <v/>
      </c>
      <c r="J9" s="11">
        <f>IF($D9&lt;&gt;"yes","","Unlock early access")</f>
        <v/>
      </c>
      <c r="K9" s="11">
        <f>IF($D9&lt;&gt;"yes","",Inputs!$B$72)</f>
        <v/>
      </c>
      <c r="L9" s="11">
        <f>""</f>
        <v/>
      </c>
      <c r="M9" s="11">
        <f>IF($D9&lt;&gt;"yes","","Especially for you.")</f>
        <v/>
      </c>
      <c r="N9" s="11">
        <f>IF(D9&lt;&gt;"yes",D9,IF(E9="","","Subject: "&amp;E9)&amp;IF(F9="","",CHAR(10)&amp;"Preview: "&amp;F9)&amp;IF(G9="","",CHAR(10)&amp;"Kicker: "&amp;G9)&amp;IF(H9="","",CHAR(10)&amp;"Headline: "&amp;H9)&amp;IF(I9="","",IF(E9&amp;F9&amp;G9&amp;H9="","",CHAR(10)&amp;CHAR(10))&amp;I9)&amp;IF(J9="","",CHAR(10)&amp;CHAR(10)&amp;"CTA: "&amp;J9)&amp;IF(K9="","",CHAR(10)&amp;CHAR(10)&amp;"Card: "&amp;K9)&amp;IF(L9="","",CHAR(10)&amp;CHAR(10)&amp;"Quote: "&amp;L9)&amp;IF(M9="","",CHAR(10)&amp;CHAR(10)&amp;"Footer: "&amp;M9))</f>
        <v/>
      </c>
      <c r="O9" s="11">
        <f>LEN(N9)</f>
        <v/>
      </c>
    </row>
    <row r="10" ht="300" customHeight="1">
      <c r="A10" s="11" t="n">
        <v>7</v>
      </c>
      <c r="B10" s="11" t="inlineStr">
        <is>
          <t>Now Live (TL Flow) · Now Live (TL Non-flow)</t>
        </is>
      </c>
      <c r="C10" s="11" t="inlineStr">
        <is>
          <t>timed</t>
        </is>
      </c>
      <c r="D10" s="11">
        <f>IF(Inputs!$B$18="draw","(not used for a draw)","yes")</f>
        <v/>
      </c>
      <c r="E10" s="11">
        <f>IF($D10&lt;&gt;"yes","",Inputs!$B$4&amp;" – Available now, for "&amp;Inputs!$B$19&amp;" only")</f>
        <v/>
      </c>
      <c r="F10" s="11">
        <f>IF($D10&lt;&gt;"yes","",Inputs!$B$70&amp;", starting now.")</f>
        <v/>
      </c>
      <c r="G10" s="11">
        <f>IF($D10&lt;&gt;"yes","",Lines!$C$35)</f>
        <v/>
      </c>
      <c r="H10" s="11">
        <f>IF($D10&lt;&gt;"yes","",Inputs!$B$70&amp;", starting now")</f>
        <v/>
      </c>
      <c r="I10" s="11">
        <f>IF($D10&lt;&gt;"yes","",(Lines!$C$63&amp;IF(Inputs!$B$36="","",CHAR(10)&amp;CHAR(10)&amp;Inputs!$B$36)&amp;IF(Inputs!$B$58="","",CHAR(10)&amp;CHAR(10)&amp;Inputs!$B$58)&amp;IF(Inputs!$B$57="","",CHAR(10)&amp;CHAR(10)&amp;Inputs!$B$57)&amp;IF(Lines!$C$64="","",CHAR(10)&amp;CHAR(10)&amp;Lines!$C$64)&amp;IF(IF(Inputs!$B$26="","",Lines!$C$36)="","",CHAR(10)&amp;CHAR(10)&amp;IF(Inputs!$B$26="","",Lines!$C$36))))</f>
        <v/>
      </c>
      <c r="J10" s="11">
        <f>IF($D10&lt;&gt;"yes","","Buy now")</f>
        <v/>
      </c>
      <c r="K10" s="11">
        <f>IF($D10&lt;&gt;"yes","",Inputs!$B$72)</f>
        <v/>
      </c>
      <c r="L10" s="11">
        <f>IF($D10&lt;&gt;"yes","",Inputs!$B$73)</f>
        <v/>
      </c>
      <c r="M10" s="11">
        <f>IF($D10&lt;&gt;"yes","","Collect "&amp;Inputs!$B$68)</f>
        <v/>
      </c>
      <c r="N10" s="11">
        <f>IF(D10&lt;&gt;"yes",D10,IF(E10="","","Subject: "&amp;E10)&amp;IF(F10="","",CHAR(10)&amp;"Preview: "&amp;F10)&amp;IF(G10="","",CHAR(10)&amp;"Kicker: "&amp;G10)&amp;IF(H10="","",CHAR(10)&amp;"Headline: "&amp;H10)&amp;IF(I10="","",IF(E10&amp;F10&amp;G10&amp;H10="","",CHAR(10)&amp;CHAR(10))&amp;I10)&amp;IF(J10="","",CHAR(10)&amp;CHAR(10)&amp;"CTA: "&amp;J10)&amp;IF(K10="","",CHAR(10)&amp;CHAR(10)&amp;"Card: "&amp;K10)&amp;IF(L10="","",CHAR(10)&amp;CHAR(10)&amp;"Quote: "&amp;L10)&amp;IF(M10="","",CHAR(10)&amp;CHAR(10)&amp;"Footer: "&amp;M10))</f>
        <v/>
      </c>
      <c r="O10" s="11">
        <f>LEN(N10)</f>
        <v/>
      </c>
    </row>
    <row r="11" ht="90" customHeight="1">
      <c r="A11" s="11" t="n">
        <v>8</v>
      </c>
      <c r="B11" s="11" t="inlineStr">
        <is>
          <t>Halfway (TL Flow)</t>
        </is>
      </c>
      <c r="C11" s="11" t="inlineStr">
        <is>
          <t>timed, 48 hours</t>
        </is>
      </c>
      <c r="D11" s="11">
        <f>IF(Inputs!$B$18="draw","(not used for a draw)",IF(Inputs!$B$19="48 hours","yes","(48-hour windows only; a one-week window gets the 5 days and 3 days emails)"))</f>
        <v/>
      </c>
      <c r="E11" s="11">
        <f>IF($D11&lt;&gt;"yes","",Inputs!$B$4&amp;" – 24 hours to go")</f>
        <v/>
      </c>
      <c r="F11" s="11">
        <f>""</f>
        <v/>
      </c>
      <c r="G11" s="11">
        <f>IF($D11&lt;&gt;"yes","",Lines!$C$35)</f>
        <v/>
      </c>
      <c r="H11" s="11">
        <f>IF($D11&lt;&gt;"yes","",Lines!$C$65)</f>
        <v/>
      </c>
      <c r="I11" s="11">
        <f>""</f>
        <v/>
      </c>
      <c r="J11" s="11">
        <f>IF($D11&lt;&gt;"yes","","Buy now")</f>
        <v/>
      </c>
      <c r="K11" s="11">
        <f>""</f>
        <v/>
      </c>
      <c r="L11" s="11">
        <f>""</f>
        <v/>
      </c>
      <c r="M11" s="11">
        <f>IF($D11&lt;&gt;"yes","",Lines!$C$66)</f>
        <v/>
      </c>
      <c r="N11" s="11">
        <f>IF(D11&lt;&gt;"yes",D11,IF(E11="","","Subject: "&amp;E11)&amp;IF(F11="","",CHAR(10)&amp;"Preview: "&amp;F11)&amp;IF(G11="","",CHAR(10)&amp;"Kicker: "&amp;G11)&amp;IF(H11="","",CHAR(10)&amp;"Headline: "&amp;H11)&amp;IF(I11="","",IF(E11&amp;F11&amp;G11&amp;H11="","",CHAR(10)&amp;CHAR(10))&amp;I11)&amp;IF(J11="","",CHAR(10)&amp;CHAR(10)&amp;"CTA: "&amp;J11)&amp;IF(K11="","",CHAR(10)&amp;CHAR(10)&amp;"Card: "&amp;K11)&amp;IF(L11="","",CHAR(10)&amp;CHAR(10)&amp;"Quote: "&amp;L11)&amp;IF(M11="","",CHAR(10)&amp;CHAR(10)&amp;"Footer: "&amp;M11))</f>
        <v/>
      </c>
      <c r="O11" s="11">
        <f>LEN(N11)</f>
        <v/>
      </c>
    </row>
    <row r="12" ht="90" customHeight="1">
      <c r="A12" s="11" t="n">
        <v>9</v>
      </c>
      <c r="B12" s="11" t="inlineStr">
        <is>
          <t>5 days to go (TL Flow)</t>
        </is>
      </c>
      <c r="C12" s="11" t="inlineStr">
        <is>
          <t>timed, one week</t>
        </is>
      </c>
      <c r="D12" s="11">
        <f>IF(Inputs!$B$18="draw","(not used for a draw)",IF(Inputs!$B$19="48 hours","(one-week windows only; a 48-hour window gets the halfway email)","yes"))</f>
        <v/>
      </c>
      <c r="E12" s="11">
        <f>IF($D12&lt;&gt;"yes","",Inputs!$B$4&amp;" – 5 days left")</f>
        <v/>
      </c>
      <c r="F12" s="11">
        <f>""</f>
        <v/>
      </c>
      <c r="G12" s="11">
        <f>IF($D12&lt;&gt;"yes","",Lines!$C$35)</f>
        <v/>
      </c>
      <c r="H12" s="11">
        <f>IF($D12&lt;&gt;"yes","",Lines!$C$67)</f>
        <v/>
      </c>
      <c r="I12" s="11">
        <f>""</f>
        <v/>
      </c>
      <c r="J12" s="11">
        <f>IF($D12&lt;&gt;"yes","","Buy "&amp;Inputs!$B$45)</f>
        <v/>
      </c>
      <c r="K12" s="11">
        <f>""</f>
        <v/>
      </c>
      <c r="L12" s="11">
        <f>""</f>
        <v/>
      </c>
      <c r="M12" s="11">
        <f>IF($D12&lt;&gt;"yes","",Lines!$C$71)</f>
        <v/>
      </c>
      <c r="N12" s="11">
        <f>IF(D12&lt;&gt;"yes",D12,IF(E12="","","Subject: "&amp;E12)&amp;IF(F12="","",CHAR(10)&amp;"Preview: "&amp;F12)&amp;IF(G12="","",CHAR(10)&amp;"Kicker: "&amp;G12)&amp;IF(H12="","",CHAR(10)&amp;"Headline: "&amp;H12)&amp;IF(I12="","",IF(E12&amp;F12&amp;G12&amp;H12="","",CHAR(10)&amp;CHAR(10))&amp;I12)&amp;IF(J12="","",CHAR(10)&amp;CHAR(10)&amp;"CTA: "&amp;J12)&amp;IF(K12="","",CHAR(10)&amp;CHAR(10)&amp;"Card: "&amp;K12)&amp;IF(L12="","",CHAR(10)&amp;CHAR(10)&amp;"Quote: "&amp;L12)&amp;IF(M12="","",CHAR(10)&amp;CHAR(10)&amp;"Footer: "&amp;M12))</f>
        <v/>
      </c>
      <c r="O12" s="11">
        <f>LEN(N12)</f>
        <v/>
      </c>
    </row>
    <row r="13" ht="300" customHeight="1">
      <c r="A13" s="11" t="n">
        <v>10</v>
      </c>
      <c r="B13" s="11" t="inlineStr">
        <is>
          <t>3 days to go (TL Flow)</t>
        </is>
      </c>
      <c r="C13" s="11" t="inlineStr">
        <is>
          <t>timed, one week</t>
        </is>
      </c>
      <c r="D13" s="11">
        <f>IF(Inputs!$B$18="draw","(not used for a draw)",IF(Inputs!$B$19="48 hours","(one-week windows only; a 48-hour window gets the halfway email)","yes"))</f>
        <v/>
      </c>
      <c r="E13" s="11">
        <f>IF($D13&lt;&gt;"yes","",Inputs!$B$4&amp;" – 3 days to go")</f>
        <v/>
      </c>
      <c r="F13" s="11">
        <f>""</f>
        <v/>
      </c>
      <c r="G13" s="11">
        <f>IF($D13&lt;&gt;"yes","",Inputs!$B$49&amp;" by "&amp;Inputs!$B$4)</f>
        <v/>
      </c>
      <c r="H13" s="11">
        <f>IF($D13&lt;&gt;"yes","",Lines!$C$68)</f>
        <v/>
      </c>
      <c r="I13" s="11">
        <f>IF($D13&lt;&gt;"yes","",(Lines!$C$69&amp;IF(Inputs!$B$36="","",CHAR(10)&amp;CHAR(10)&amp;Inputs!$B$36)&amp;IF(Lines!$C$70="","",CHAR(10)&amp;CHAR(10)&amp;Lines!$C$70)&amp;IF(IF(Inputs!$B$26="","",Lines!$C$37)="","",CHAR(10)&amp;CHAR(10)&amp;IF(Inputs!$B$26="","",Lines!$C$37))))</f>
        <v/>
      </c>
      <c r="J13" s="11">
        <f>IF($D13&lt;&gt;"yes","","Buy "&amp;Inputs!$B$45)</f>
        <v/>
      </c>
      <c r="K13" s="11">
        <f>IF($D13&lt;&gt;"yes","",Inputs!$B$72)</f>
        <v/>
      </c>
      <c r="L13" s="11">
        <f>""</f>
        <v/>
      </c>
      <c r="M13" s="11">
        <f>IF($D13&lt;&gt;"yes","",Lines!$C$71)</f>
        <v/>
      </c>
      <c r="N13" s="11">
        <f>IF(D13&lt;&gt;"yes",D13,IF(E13="","","Subject: "&amp;E13)&amp;IF(F13="","",CHAR(10)&amp;"Preview: "&amp;F13)&amp;IF(G13="","",CHAR(10)&amp;"Kicker: "&amp;G13)&amp;IF(H13="","",CHAR(10)&amp;"Headline: "&amp;H13)&amp;IF(I13="","",IF(E13&amp;F13&amp;G13&amp;H13="","",CHAR(10)&amp;CHAR(10))&amp;I13)&amp;IF(J13="","",CHAR(10)&amp;CHAR(10)&amp;"CTA: "&amp;J13)&amp;IF(K13="","",CHAR(10)&amp;CHAR(10)&amp;"Card: "&amp;K13)&amp;IF(L13="","",CHAR(10)&amp;CHAR(10)&amp;"Quote: "&amp;L13)&amp;IF(M13="","",CHAR(10)&amp;CHAR(10)&amp;"Footer: "&amp;M13))</f>
        <v/>
      </c>
      <c r="O13" s="11">
        <f>LEN(N13)</f>
        <v/>
      </c>
    </row>
    <row r="14" ht="300" customHeight="1">
      <c r="A14" s="11" t="n">
        <v>11</v>
      </c>
      <c r="B14" s="11" t="inlineStr">
        <is>
          <t>Last chance (TL Flow) · Last chance (LE)</t>
        </is>
      </c>
      <c r="C14" s="11" t="inlineStr">
        <is>
          <t>both</t>
        </is>
      </c>
      <c r="D14" s="11">
        <f>"yes"</f>
        <v/>
      </c>
      <c r="E14" s="11">
        <f>IF($D14&lt;&gt;"yes","",Inputs!$B$4&amp;" – Last chance to "&amp;IF(Inputs!$B$18="draw","enter the draw","collect"))</f>
        <v/>
      </c>
      <c r="F14" s="11">
        <f>IF($D14&lt;&gt;"yes","",IF(Inputs!$B$18="draw","The draw closes at "&amp;Inputs!$B$65&amp;" on "&amp;Inputs!$B$64&amp;".","Time is almost up."))</f>
        <v/>
      </c>
      <c r="G14" s="11">
        <f>IF($D14&lt;&gt;"yes","",Inputs!$B$4)</f>
        <v/>
      </c>
      <c r="H14" s="11">
        <f>IF($D14&lt;&gt;"yes","",IF(Inputs!$B$18="draw","Last chance to enter the draw","Last chance to collect"))</f>
        <v/>
      </c>
      <c r="I14" s="11">
        <f>IF($D14&lt;&gt;"yes","",IF(Inputs!$B$18="draw",(Lines!$C$75&amp;IF(Inputs!$B$36="","",CHAR(10)&amp;CHAR(10)&amp;Inputs!$B$36)&amp;IF(Lines!$C$76="","",CHAR(10)&amp;CHAR(10)&amp;Lines!$C$76)),(Lines!$C$73&amp;IF(Lines!$C$74="","",CHAR(10)&amp;CHAR(10)&amp;Lines!$C$74)&amp;IF(IF(Inputs!$B$26="","",Lines!$C$37)="","",CHAR(10)&amp;CHAR(10)&amp;IF(Inputs!$B$26="","",Lines!$C$37)))))</f>
        <v/>
      </c>
      <c r="J14" s="11">
        <f>IF($D14&lt;&gt;"yes","",IF(Inputs!$B$18="draw","Enter the draw","Buy now"))</f>
        <v/>
      </c>
      <c r="K14" s="11">
        <f>IF($D14&lt;&gt;"yes","",Inputs!$B$72)</f>
        <v/>
      </c>
      <c r="L14" s="11">
        <f>""</f>
        <v/>
      </c>
      <c r="M14" s="11">
        <f>IF($D14&lt;&gt;"yes","","Time is almost up")</f>
        <v/>
      </c>
      <c r="N14" s="11">
        <f>IF(D14&lt;&gt;"yes",D14,IF(E14="","","Subject: "&amp;E14)&amp;IF(F14="","",CHAR(10)&amp;"Preview: "&amp;F14)&amp;IF(G14="","",CHAR(10)&amp;"Kicker: "&amp;G14)&amp;IF(H14="","",CHAR(10)&amp;"Headline: "&amp;H14)&amp;IF(I14="","",IF(E14&amp;F14&amp;G14&amp;H14="","",CHAR(10)&amp;CHAR(10))&amp;I14)&amp;IF(J14="","",CHAR(10)&amp;CHAR(10)&amp;"CTA: "&amp;J14)&amp;IF(K14="","",CHAR(10)&amp;CHAR(10)&amp;"Card: "&amp;K14)&amp;IF(L14="","",CHAR(10)&amp;CHAR(10)&amp;"Quote: "&amp;L14)&amp;IF(M14="","",CHAR(10)&amp;CHAR(10)&amp;"Footer: "&amp;M14))</f>
        <v/>
      </c>
      <c r="O14" s="11">
        <f>LEN(N14)</f>
        <v/>
      </c>
    </row>
    <row r="15" ht="300" customHeight="1">
      <c r="A15" s="11" t="n">
        <v>12</v>
      </c>
      <c r="B15" s="11" t="inlineStr">
        <is>
          <t>First-time collector survey (LE)</t>
        </is>
      </c>
      <c r="C15" s="11" t="inlineStr">
        <is>
          <t>draw, after the draw closes</t>
        </is>
      </c>
      <c r="D15" s="11">
        <f>IF(Inputs!$B$18="draw","yes","(not used for a timed edition)")</f>
        <v/>
      </c>
      <c r="E15" s="11">
        <f>IF($D15&lt;&gt;"yes","",Lines!$C$78)</f>
        <v/>
      </c>
      <c r="F15" s="11">
        <f>""</f>
        <v/>
      </c>
      <c r="G15" s="11">
        <f>""</f>
        <v/>
      </c>
      <c r="H15" s="11">
        <f>""</f>
        <v/>
      </c>
      <c r="I15" s="11">
        <f>IF($D15&lt;&gt;"yes","",(Lines!$C$31&amp;IF(Lines!$C$79="","",CHAR(10)&amp;CHAR(10)&amp;Lines!$C$79)&amp;IF(Lines!$C$80="","",CHAR(10)&amp;CHAR(10)&amp;Lines!$C$80)&amp;IF(Lines!$C$81="","",CHAR(10)&amp;CHAR(10)&amp;Lines!$C$81)&amp;IF(Lines!$C$82="","",CHAR(10)&amp;CHAR(10)&amp;Lines!$C$82)))</f>
        <v/>
      </c>
      <c r="J15" s="11">
        <f>IF($D15&lt;&gt;"yes","","Complete survey")</f>
        <v/>
      </c>
      <c r="K15" s="11">
        <f>IF($D15&lt;&gt;"yes","",Inputs!$B$4)</f>
        <v/>
      </c>
      <c r="L15" s="11">
        <f>""</f>
        <v/>
      </c>
      <c r="M15" s="11">
        <f>""</f>
        <v/>
      </c>
      <c r="N15" s="11">
        <f>IF(D15&lt;&gt;"yes",D15,IF(E15="","","Subject: "&amp;E15)&amp;IF(F15="","",CHAR(10)&amp;"Preview: "&amp;F15)&amp;IF(G15="","",CHAR(10)&amp;"Kicker: "&amp;G15)&amp;IF(H15="","",CHAR(10)&amp;"Headline: "&amp;H15)&amp;IF(I15="","",IF(E15&amp;F15&amp;G15&amp;H15="","",CHAR(10)&amp;CHAR(10))&amp;I15)&amp;IF(J15="","",CHAR(10)&amp;CHAR(10)&amp;"CTA: "&amp;J15)&amp;IF(K15="","",CHAR(10)&amp;CHAR(10)&amp;"Card: "&amp;K15)&amp;IF(L15="","",CHAR(10)&amp;CHAR(10)&amp;"Quote: "&amp;L15)&amp;IF(M15="","",CHAR(10)&amp;CHAR(10)&amp;"Footer: "&amp;M15))</f>
        <v/>
      </c>
      <c r="O15" s="11">
        <f>LEN(N15)</f>
        <v/>
      </c>
    </row>
    <row r="16" ht="300" customHeight="1">
      <c r="A16" s="11" t="n">
        <v>13</v>
      </c>
      <c r="B16" s="11" t="inlineStr">
        <is>
          <t>Non-purchaser survey (LE)</t>
        </is>
      </c>
      <c r="C16" s="11" t="inlineStr">
        <is>
          <t>draw, after the draw closes</t>
        </is>
      </c>
      <c r="D16" s="11">
        <f>IF(Inputs!$B$18="draw","yes","(not used for a timed edition)")</f>
        <v/>
      </c>
      <c r="E16" s="11">
        <f>IF($D16&lt;&gt;"yes","",Inputs!$B$4&amp;" – Any feedback?")</f>
        <v/>
      </c>
      <c r="F16" s="11">
        <f>""</f>
        <v/>
      </c>
      <c r="G16" s="11">
        <f>IF($D16&lt;&gt;"yes","","Your feedback")</f>
        <v/>
      </c>
      <c r="H16" s="11">
        <f>IF($D16&lt;&gt;"yes","",Inputs!$B$4)</f>
        <v/>
      </c>
      <c r="I16" s="11">
        <f>IF($D16&lt;&gt;"yes","",(Lines!$C$83&amp;IF(Lines!$C$84="","",CHAR(10)&amp;CHAR(10)&amp;Lines!$C$84)&amp;IF(Lines!$C$85="","",CHAR(10)&amp;CHAR(10)&amp;Lines!$C$85)&amp;IF(Lines!$C$86="","",CHAR(10)&amp;CHAR(10)&amp;Lines!$C$86)))</f>
        <v/>
      </c>
      <c r="J16" s="11">
        <f>IF($D16&lt;&gt;"yes","","Complete survey")</f>
        <v/>
      </c>
      <c r="K16" s="11">
        <f>""</f>
        <v/>
      </c>
      <c r="L16" s="11">
        <f>""</f>
        <v/>
      </c>
      <c r="M16" s="11">
        <f>IF($D16&lt;&gt;"yes","",Lines!$C$87)</f>
        <v/>
      </c>
      <c r="N16" s="11">
        <f>IF(D16&lt;&gt;"yes",D16,IF(E16="","","Subject: "&amp;E16)&amp;IF(F16="","",CHAR(10)&amp;"Preview: "&amp;F16)&amp;IF(G16="","",CHAR(10)&amp;"Kicker: "&amp;G16)&amp;IF(H16="","",CHAR(10)&amp;"Headline: "&amp;H16)&amp;IF(I16="","",IF(E16&amp;F16&amp;G16&amp;H16="","",CHAR(10)&amp;CHAR(10))&amp;I16)&amp;IF(J16="","",CHAR(10)&amp;CHAR(10)&amp;"CTA: "&amp;J16)&amp;IF(K16="","",CHAR(10)&amp;CHAR(10)&amp;"Card: "&amp;K16)&amp;IF(L16="","",CHAR(10)&amp;CHAR(10)&amp;"Quote: "&amp;L16)&amp;IF(M16="","",CHAR(10)&amp;CHAR(10)&amp;"Footer: "&amp;M16))</f>
        <v/>
      </c>
      <c r="O16" s="11">
        <f>LEN(N16)</f>
        <v/>
      </c>
    </row>
    <row r="17" ht="300" customHeight="1">
      <c r="A17" s="11" t="n">
        <v>14</v>
      </c>
      <c r="B17" s="11" t="inlineStr">
        <is>
          <t>Monthly Preview · this release's paragraph</t>
        </is>
      </c>
      <c r="C17" s="11" t="inlineStr">
        <is>
          <t>both; the advisor's monthly email is one paragraph per release, this is this release's</t>
        </is>
      </c>
      <c r="D17" s="11">
        <f>"yes"</f>
        <v/>
      </c>
      <c r="E17" s="11">
        <f>""</f>
        <v/>
      </c>
      <c r="F17" s="11">
        <f>""</f>
        <v/>
      </c>
      <c r="G17" s="11">
        <f>""</f>
        <v/>
      </c>
      <c r="H17" s="11">
        <f>""</f>
        <v/>
      </c>
      <c r="I17" s="11">
        <f>IF($D17&lt;&gt;"yes","",(Lines!$C$89&amp;IF(Inputs!$B$36="","",CHAR(10)&amp;CHAR(10)&amp;Inputs!$B$36)&amp;IF(Inputs!$B$58="","",CHAR(10)&amp;CHAR(10)&amp;Inputs!$B$58)&amp;IF(IF(Inputs!$B$18="draw",Lines!$C$90,Lines!$C$91)="","",CHAR(10)&amp;CHAR(10)&amp;IF(Inputs!$B$18="draw",Lines!$C$90,Lines!$C$91))))</f>
        <v/>
      </c>
      <c r="J17" s="11">
        <f>""</f>
        <v/>
      </c>
      <c r="K17" s="11">
        <f>""</f>
        <v/>
      </c>
      <c r="L17" s="11">
        <f>""</f>
        <v/>
      </c>
      <c r="M17" s="11">
        <f>""</f>
        <v/>
      </c>
      <c r="N17" s="11">
        <f>IF(D17&lt;&gt;"yes",D17,IF(E17="","","Subject: "&amp;E17)&amp;IF(F17="","",CHAR(10)&amp;"Preview: "&amp;F17)&amp;IF(G17="","",CHAR(10)&amp;"Kicker: "&amp;G17)&amp;IF(H17="","",CHAR(10)&amp;"Headline: "&amp;H17)&amp;IF(I17="","",IF(E17&amp;F17&amp;G17&amp;H17="","",CHAR(10)&amp;CHAR(10))&amp;I17)&amp;IF(J17="","",CHAR(10)&amp;CHAR(10)&amp;"CTA: "&amp;J17)&amp;IF(K17="","",CHAR(10)&amp;CHAR(10)&amp;"Card: "&amp;K17)&amp;IF(L17="","",CHAR(10)&amp;CHAR(10)&amp;"Quote: "&amp;L17)&amp;IF(M17="","",CHAR(10)&amp;CHAR(10)&amp;"Footer: "&amp;M17))</f>
        <v/>
      </c>
      <c r="O17" s="11">
        <f>LEN(N17)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112" customWidth="1" min="2" max="2"/>
  </cols>
  <sheetData>
    <row r="1">
      <c r="A1" s="1" t="inlineStr">
        <is>
          <t>The system on one page</t>
        </is>
      </c>
    </row>
    <row r="3" ht="46" customHeight="1">
      <c r="A3" s="12" t="inlineStr">
        <is>
          <t>What it covers</t>
        </is>
      </c>
      <c r="B3" s="10" t="inlineStr">
        <is>
          <t>Every post on our own Instagram feed and the Insiders account, the tweets, and the emails in the comms plan: Announcement (TL and LE), Welcome, Early Access (TL Flow, TL Artist PP, Insiders TL and LE, LE early/exclusive), Now Live, Halfway, 5 days to go, 3 days to go, Last chance (TL and LE), the two LE surveys, and this release's paragraph for the Monthly Preview. The artist's own email is rare and stays hand-written.</t>
        </is>
      </c>
    </row>
    <row r="4" ht="46" customHeight="1">
      <c r="A4" s="12" t="inlineStr">
        <is>
          <t>Skeleton, posts</t>
        </is>
      </c>
      <c r="B4" s="10" t="inlineStr">
        <is>
          <t>Every post is: status line, substance, features line, action line, and a hashtag on the announcement only. Coming Soon opens with the bio.</t>
        </is>
      </c>
    </row>
    <row r="5" ht="46" customHeight="1">
      <c r="A5" s="12" t="inlineStr">
        <is>
          <t>Insiders</t>
        </is>
      </c>
      <c r="B5" s="10" t="inlineStr">
        <is>
          <t>The Insiders account posts the same caption as the main feed. The plan says which: Announcement, Now Live and Halfway for a timed edition, Announcement for a draw. The Channels column on Posts carries this. Stories are image-led and stay outside the sheet.</t>
        </is>
      </c>
    </row>
    <row r="6" ht="46" customHeight="1">
      <c r="A6" s="12" t="inlineStr">
        <is>
          <t>Twitter</t>
        </is>
      </c>
      <c r="B6" s="10" t="inlineStr">
        <is>
          <t>A tweet is the post's status line with the X handle, the hook on the announcement only, the beneficiary named once, and an action line that ends with the link: sign up for updates, enter the draw, or buy a print. No features line, no hashtag, no bio. Same deadline form. Coming soon names the artist and not the work.</t>
        </is>
      </c>
    </row>
    <row r="7" ht="46" customHeight="1">
      <c r="A7" s="12" t="inlineStr">
        <is>
          <t>Skeleton, emails</t>
        </is>
      </c>
      <c r="B7" s="10" t="inlineStr">
        <is>
          <t>Every email is: subject, preview, kicker, headline, body paragraphs, CTA, card, quote, footer. Bodies are fixed sentences from the Lines sheet with the same fragments dropped in. Halfway and 5 days to go have no body: they are image-led.</t>
        </is>
      </c>
    </row>
    <row r="8" ht="46" customHeight="1">
      <c r="A8" s="12" t="inlineStr">
        <is>
          <t>Naming the work</t>
        </is>
      </c>
      <c r="B8" s="10" t="inlineStr">
        <is>
          <t>The opener's tail is the title (single print only), the edition phrase, and the qualifier if one is written: 'The Changeling, a new limited edition print'; 'a quartet of new limited edition prints spanning five decades of the artist's career'; 'six new limited edition prints from his iconic Dream House series'. A pair or a quartet takes no title; the hook names the work. The same tail is used by the Insiders email, LE early access, Now Live and the Monthly Preview paragraph.</t>
        </is>
      </c>
    </row>
    <row r="9" ht="46" customHeight="1">
      <c r="A9" s="12" t="inlineStr">
        <is>
          <t>Fragments</t>
        </is>
      </c>
      <c r="B9" s="10" t="inlineStr">
        <is>
          <t>Four per release, written once: bio (2 to 3 sentences, Coming Soon only), hook (1 to 2 sentences about the work, in every post and email), making (one sentence on how it was made), quote (verbatim). The hook and bio must not repeat each other.</t>
        </is>
      </c>
    </row>
    <row r="10" ht="46" customHeight="1">
      <c r="A10" s="12" t="inlineStr">
        <is>
          <t>Voice</t>
        </is>
      </c>
      <c r="B10" s="10" t="inlineStr">
        <is>
          <t>Fragments are voice-neutral: no we or our, no artist name in the hook or the making line, and 'printmakers at Make-Ready' where it applies. The sheet adds 'our'. The Insiders email and the first-time survey are signed by the advisor named on Inputs. Features never say 'our'.</t>
        </is>
      </c>
    </row>
    <row r="11" ht="46" customHeight="1">
      <c r="A11" s="12" t="inlineStr">
        <is>
          <t>Who and what</t>
        </is>
      </c>
      <c r="B11" s="10" t="inlineStr">
        <is>
          <t>'by {artist}' is always the artist. 'collaboration with {collab_with}' is the artist's name, or the estate. 'unit' is what one is called (print, embroidery, sculpture), and the sheet writes 'a print' or 'an embroidery' wherever a line names one.</t>
        </is>
      </c>
    </row>
    <row r="12" ht="46" customHeight="1">
      <c r="A12" s="12" t="inlineStr">
        <is>
          <t>Features</t>
        </is>
      </c>
      <c r="B12" s="10" t="inlineStr">
        <is>
          <t>The standard three (signed by the artist, individually numbered, free worldwide shipping) plus anything bespoke: framed, a set offer, a partner credit. One line of short sentences in a post, a list in an email. The beneficiary follows, named once.</t>
        </is>
      </c>
    </row>
    <row r="13" ht="46" customHeight="1">
      <c r="A13" s="12" t="inlineStr">
        <is>
          <t>Beneficiary</t>
        </is>
      </c>
      <c r="B13" s="10" t="inlineStr">
        <is>
          <t>One phrase everywhere: 'released in support of'. It goes in the opener unless the hook already names the beneficiary.</t>
        </is>
      </c>
    </row>
    <row r="14" ht="46" customHeight="1">
      <c r="A14" s="12" t="inlineStr">
        <is>
          <t>Framing offer</t>
        </is>
      </c>
      <c r="B14" s="10" t="inlineStr">
        <is>
          <t>A framing code on Inputs adds the first-purchase framing line to Early Access, Now Live, 3 days to go and Last chance. Blank means no offer.</t>
        </is>
      </c>
    </row>
    <row r="15" ht="46" customHeight="1">
      <c r="A15" s="12" t="inlineStr">
        <is>
          <t>Action lines</t>
        </is>
      </c>
      <c r="B15" s="10" t="inlineStr">
        <is>
          <t>Three CTAs: get updates before launch, enter the draw for a draw, buy one for an open window. One deadline form: Closes {date} at {time} UK time, or 'until {time} on {weekday}, {date}' in an email.</t>
        </is>
      </c>
    </row>
    <row r="16" ht="46" customHeight="1">
      <c r="A16" s="12" t="inlineStr">
        <is>
          <t>Mechanic and window</t>
        </is>
      </c>
      <c r="B16" s="10" t="inlineStr">
        <is>
          <t>Set mechanic to timed or draw and the sheet switches every line. For a timed edition, a 48-hour window gets the halfway email; a one-week window gets 5 days to go and 3 days to go.</t>
        </is>
      </c>
    </row>
    <row r="17" ht="46" customHeight="1">
      <c r="A17" s="12" t="inlineStr">
        <is>
          <t>Dates</t>
        </is>
      </c>
      <c r="B17" s="10" t="inlineStr">
        <is>
          <t>Enter launch and close once as date and time; the sheet derives '30 April', '14:00 UK time', 'Thursday' and '07 May' where each email needs them.</t>
        </is>
      </c>
    </row>
    <row r="18" ht="46" customHeight="1">
      <c r="A18" s="12" t="inlineStr">
        <is>
          <t>What stays written</t>
        </is>
      </c>
      <c r="B18" s="10" t="inlineStr">
        <is>
          <t>A delay reason, a framing paragraph, editorial deep dives, the rest of the Monthly Preview, the artist's own email, artist-local times, and anything for a second release.</t>
        </is>
      </c>
    </row>
    <row r="19" ht="46" customHeight="1">
      <c r="A19" s="12" t="inlineStr">
        <is>
          <t>How to use</t>
        </is>
      </c>
      <c r="B19" s="10" t="inlineStr">
        <is>
          <t>Fill the blue cells on Inputs. Read Posts, Tweets and Emails. To change the house wording, edit the blue cells on Lines once.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2026-09-11T17:57:06Z</dcterms:created>
  <dcterms:modified xsi:type="dcterms:W3CDTF">2026-09-11T17:57:06Z</dcterms:modified>
</cp:coreProperties>
</file>