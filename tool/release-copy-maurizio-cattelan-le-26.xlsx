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s" sheetId="1" state="visible" r:id="rId1"/>
    <sheet name="Lines" sheetId="2" state="visible" r:id="rId2"/>
    <sheet name="Posts" sheetId="3" state="visible" r:id="rId3"/>
    <sheet name="Tweets" sheetId="4" state="visible" r:id="rId4"/>
    <sheet name="Emails" sheetId="5" state="visible" r:id="rId5"/>
    <sheet name="Rule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dd mmm yyyy hh:mm"/>
  </numFmts>
  <fonts count="6">
    <font>
      <name val="Calibri"/>
      <family val="2"/>
      <color theme="1"/>
      <sz val="11"/>
      <scheme val="minor"/>
    </font>
    <font>
      <name val="Arial"/>
      <b val="1"/>
      <sz val="13"/>
    </font>
    <font>
      <name val="Arial"/>
      <i val="1"/>
      <color rgb="00555555"/>
      <sz val="9"/>
    </font>
    <font>
      <name val="Arial"/>
      <b val="1"/>
      <sz val="10"/>
    </font>
    <font>
      <name val="Arial"/>
      <sz val="10"/>
    </font>
    <font>
      <name val="Arial"/>
      <color rgb="000000FF"/>
      <sz val="10"/>
    </font>
  </fonts>
  <fills count="4">
    <fill>
      <patternFill/>
    </fill>
    <fill>
      <patternFill patternType="gray125"/>
    </fill>
    <fill>
      <patternFill patternType="solid">
        <fgColor rgb="00EDEDED"/>
      </patternFill>
    </fill>
    <fill>
      <patternFill patternType="solid">
        <fgColor rgb="00FFFF0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pivotButton="0" quotePrefix="0" xfId="0"/>
    <xf numFmtId="165" fontId="5" fillId="3" borderId="0" pivotButton="0" quotePrefix="0" xfId="0"/>
    <xf numFmtId="0" fontId="3" fillId="0" borderId="0" pivotButton="0" quotePrefix="0" xfId="0"/>
    <xf numFmtId="0" fontId="5" fillId="3"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4" fillId="0" borderId="1" applyAlignment="1" pivotButton="0" quotePrefix="0" xfId="0">
      <alignment vertical="top" wrapText="1"/>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8"/>
  <sheetViews>
    <sheetView workbookViewId="0">
      <selection activeCell="A1" sqref="A1"/>
    </sheetView>
  </sheetViews>
  <sheetFormatPr baseColWidth="8" defaultRowHeight="15"/>
  <cols>
    <col width="26" customWidth="1" min="1" max="1"/>
    <col width="78" customWidth="1" min="2" max="2"/>
    <col width="62" customWidth="1" min="3" max="3"/>
  </cols>
  <sheetData>
    <row r="1">
      <c r="A1" s="1" t="inlineStr">
        <is>
          <t>One release · inputs</t>
        </is>
      </c>
    </row>
    <row r="2">
      <c r="A2" s="2" t="inlineStr">
        <is>
          <t>Blue cells on yellow are yours to fill. Everything else in this workbook is a formula. Set mechanic to draw to see the LE versions, and window to 48 hours or one week for the TL flow.</t>
        </is>
      </c>
    </row>
    <row r="3">
      <c r="A3" s="3" t="inlineStr">
        <is>
          <t>Field</t>
        </is>
      </c>
      <c r="B3" s="3" t="inlineStr">
        <is>
          <t>Value</t>
        </is>
      </c>
      <c r="C3" s="3" t="inlineStr">
        <is>
          <t>What it is</t>
        </is>
      </c>
    </row>
    <row r="4">
      <c r="A4" s="4" t="inlineStr">
        <is>
          <t>artist</t>
        </is>
      </c>
      <c r="B4" s="5" t="inlineStr">
        <is>
          <t>Maurizio Cattelan</t>
        </is>
      </c>
      <c r="C4" s="2" t="inlineStr">
        <is>
          <t>full name: the works are 'by' this name</t>
        </is>
      </c>
    </row>
    <row r="5">
      <c r="A5" s="4" t="inlineStr">
        <is>
          <t>collab_with</t>
        </is>
      </c>
      <c r="B5" s="5" t="inlineStr">
        <is>
          <t>Italian artist Maurizio Cattelan</t>
        </is>
      </c>
      <c r="C5" s="2" t="inlineStr">
        <is>
          <t>the words after 'collaboration with': usually the name, or the estate</t>
        </is>
      </c>
    </row>
    <row r="6">
      <c r="A6" s="4" t="inlineStr">
        <is>
          <t>handle</t>
        </is>
      </c>
      <c r="B6" s="5" t="inlineStr">
        <is>
          <t>mauriziocattelan</t>
        </is>
      </c>
      <c r="C6" s="2" t="inlineStr">
        <is>
          <t>Instagram handle, blank if none</t>
        </is>
      </c>
    </row>
    <row r="7">
      <c r="A7" s="4" t="inlineStr">
        <is>
          <t>x_handle</t>
        </is>
      </c>
      <c r="B7" s="5" t="inlineStr"/>
      <c r="C7" s="2" t="inlineStr">
        <is>
          <t>X (Twitter) handle, blank if none</t>
        </is>
      </c>
    </row>
    <row r="8">
      <c r="A8" s="4" t="inlineStr">
        <is>
          <t>link</t>
        </is>
      </c>
      <c r="B8" s="5" t="inlineStr">
        <is>
          <t>https://avantarte.co/maurizio-cattelan-x</t>
        </is>
      </c>
      <c r="C8" s="2" t="inlineStr">
        <is>
          <t>the release's short link, for tweets</t>
        </is>
      </c>
    </row>
    <row r="9">
      <c r="A9" s="4" t="inlineStr">
        <is>
          <t>hashtag</t>
        </is>
      </c>
      <c r="B9" s="5" t="inlineStr"/>
      <c r="C9" s="2" t="inlineStr">
        <is>
          <t>announcement post only; blank for none</t>
        </is>
      </c>
    </row>
    <row r="10">
      <c r="A10" s="4" t="inlineStr">
        <is>
          <t>ordinal</t>
        </is>
      </c>
      <c r="B10" s="5" t="inlineStr">
        <is>
          <t>latest</t>
        </is>
      </c>
      <c r="C10" s="2" t="inlineStr">
        <is>
          <t>debut, latest or second</t>
        </is>
      </c>
    </row>
    <row r="11">
      <c r="A11" s="4" t="inlineStr">
        <is>
          <t>title_1</t>
        </is>
      </c>
      <c r="B11" s="5" t="inlineStr">
        <is>
          <t>Window</t>
        </is>
      </c>
      <c r="C11" s="2" t="inlineStr">
        <is>
          <t>exactly as it appears; the set's one title if it has one; for untitled works from a named series, the series name</t>
        </is>
      </c>
    </row>
    <row r="12">
      <c r="A12" s="4" t="inlineStr">
        <is>
          <t>title_2</t>
        </is>
      </c>
      <c r="B12" s="5" t="inlineStr"/>
      <c r="C12" s="2" t="inlineStr">
        <is>
          <t>for a pair or a trio with their own titles; blank otherwise</t>
        </is>
      </c>
    </row>
    <row r="13">
      <c r="A13" s="4" t="inlineStr">
        <is>
          <t>title_3</t>
        </is>
      </c>
      <c r="B13" s="5" t="inlineStr"/>
      <c r="C13" s="2" t="inlineStr">
        <is>
          <t>blank otherwise. More than three titled works: give the set a collective title, or use the templates</t>
        </is>
      </c>
    </row>
    <row r="14">
      <c r="A14" s="4" t="inlineStr">
        <is>
          <t>is_series</t>
        </is>
      </c>
      <c r="B14" s="5" t="inlineStr">
        <is>
          <t>no</t>
        </is>
      </c>
      <c r="C14" s="2" t="inlineStr">
        <is>
          <t>yes only for untitled works from a named series</t>
        </is>
      </c>
    </row>
    <row r="15">
      <c r="A15" s="4" t="inlineStr">
        <is>
          <t>edition_phrase</t>
        </is>
      </c>
      <c r="B15" s="5" t="inlineStr">
        <is>
          <t>a new limited edition print</t>
        </is>
      </c>
      <c r="C15" s="2" t="inlineStr">
        <is>
          <t>e.g. a new limited edition print; a quartet of new limited edition embroideries; a new limited edition print in four colourways</t>
        </is>
      </c>
    </row>
    <row r="16">
      <c r="A16" s="4" t="inlineStr">
        <is>
          <t>works</t>
        </is>
      </c>
      <c r="B16" s="5" t="n">
        <v>1</v>
      </c>
      <c r="C16" s="2" t="inlineStr">
        <is>
          <t>number of artworks: sets the plural wording</t>
        </is>
      </c>
    </row>
    <row r="17">
      <c r="A17" s="4" t="inlineStr">
        <is>
          <t>unit</t>
        </is>
      </c>
      <c r="B17" s="5" t="inlineStr">
        <is>
          <t>print</t>
        </is>
      </c>
      <c r="C17" s="2" t="inlineStr">
        <is>
          <t>what one is called: print, embroidery, sculpture, edition</t>
        </is>
      </c>
    </row>
    <row r="18">
      <c r="A18" s="4" t="inlineStr">
        <is>
          <t>mechanic</t>
        </is>
      </c>
      <c r="B18" s="5" t="inlineStr">
        <is>
          <t>draw</t>
        </is>
      </c>
      <c r="C18" s="2" t="inlineStr">
        <is>
          <t>timed (TL) or draw (LE)</t>
        </is>
      </c>
    </row>
    <row r="19">
      <c r="A19" s="4" t="inlineStr">
        <is>
          <t>window</t>
        </is>
      </c>
      <c r="B19" s="5" t="inlineStr">
        <is>
          <t>48 hours</t>
        </is>
      </c>
      <c r="C19" s="2" t="inlineStr">
        <is>
          <t>48 hours or one week; timed only</t>
        </is>
      </c>
    </row>
    <row r="20">
      <c r="A20" s="4" t="inlineStr">
        <is>
          <t>launch_at</t>
        </is>
      </c>
      <c r="B20" s="6" t="n">
        <v>46048.54166666666</v>
      </c>
      <c r="C20" s="2" t="inlineStr">
        <is>
          <t>date and time the window opens, or the draw opens (UK)</t>
        </is>
      </c>
    </row>
    <row r="21">
      <c r="A21" s="4" t="inlineStr">
        <is>
          <t>closes_at</t>
        </is>
      </c>
      <c r="B21" s="6" t="n">
        <v>46073.70833333334</v>
      </c>
      <c r="C21" s="2" t="inlineStr">
        <is>
          <t>date and time the window or draw closes (UK)</t>
        </is>
      </c>
    </row>
    <row r="22">
      <c r="A22" s="4" t="inlineStr">
        <is>
          <t>beneficiary</t>
        </is>
      </c>
      <c r="B22" s="5" t="inlineStr"/>
      <c r="C22" s="2" t="inlineStr">
        <is>
          <t>as it reads mid-sentence; blank if none</t>
        </is>
      </c>
    </row>
    <row r="23">
      <c r="A23" s="4" t="inlineStr">
        <is>
          <t>beneficiary_handle</t>
        </is>
      </c>
      <c r="B23" s="5" t="inlineStr"/>
      <c r="C23" s="2" t="inlineStr">
        <is>
          <t>blank if none</t>
        </is>
      </c>
    </row>
    <row r="24">
      <c r="A24" s="4" t="inlineStr">
        <is>
          <t>advisor</t>
        </is>
      </c>
      <c r="B24" s="5" t="inlineStr">
        <is>
          <t>Sam</t>
        </is>
      </c>
      <c r="C24" s="2" t="inlineStr">
        <is>
          <t>signs the Insiders email and the first-time collector survey: Sofiya, Curtis or Sam</t>
        </is>
      </c>
    </row>
    <row r="25">
      <c r="A25" s="4" t="inlineStr">
        <is>
          <t>early_access_code</t>
        </is>
      </c>
      <c r="B25" s="5" t="inlineStr">
        <is>
          <t>918-831</t>
        </is>
      </c>
      <c r="C25" s="2" t="inlineStr">
        <is>
          <t>draw releases</t>
        </is>
      </c>
    </row>
    <row r="26">
      <c r="A26" s="4" t="inlineStr">
        <is>
          <t>framing_code</t>
        </is>
      </c>
      <c r="B26" s="5" t="inlineStr"/>
      <c r="C26" s="2" t="inlineStr">
        <is>
          <t>first-purchase framing offer code, e.g. Freud-0426-10; blank for no offer</t>
        </is>
      </c>
    </row>
    <row r="27">
      <c r="A27" s="4" t="inlineStr">
        <is>
          <t>framing_percent</t>
        </is>
      </c>
      <c r="B27" s="5" t="n">
        <v>10</v>
      </c>
      <c r="C27" s="2" t="inlineStr">
        <is>
          <t>10 or 20</t>
        </is>
      </c>
    </row>
    <row r="28">
      <c r="A28" s="4" t="inlineStr">
        <is>
          <t>feature_1</t>
        </is>
      </c>
      <c r="B28" s="5" t="inlineStr">
        <is>
          <t>Signed by the artist</t>
        </is>
      </c>
      <c r="C28" s="2" t="inlineStr">
        <is>
          <t>the standard three; clear a cell to drop it</t>
        </is>
      </c>
    </row>
    <row r="29">
      <c r="A29" s="4" t="inlineStr">
        <is>
          <t>feature_2</t>
        </is>
      </c>
      <c r="B29" s="5" t="inlineStr">
        <is>
          <t>Individually numbered</t>
        </is>
      </c>
      <c r="C29" s="2" t="inlineStr"/>
    </row>
    <row r="30">
      <c r="A30" s="4" t="inlineStr">
        <is>
          <t>feature_3</t>
        </is>
      </c>
      <c r="B30" s="5" t="inlineStr">
        <is>
          <t>Four silkscreen layers with a matte varnish seal</t>
        </is>
      </c>
      <c r="C30" s="2" t="inlineStr"/>
    </row>
    <row r="31">
      <c r="A31" s="4" t="inlineStr">
        <is>
          <t>feature_4</t>
        </is>
      </c>
      <c r="B31" s="5" t="inlineStr">
        <is>
          <t>Free worldwide shipping</t>
        </is>
      </c>
      <c r="C31" s="2" t="inlineStr">
        <is>
          <t>bespoke, e.g. Hand-finished by the artist. Never 'our'.</t>
        </is>
      </c>
    </row>
    <row r="32">
      <c r="A32" s="4" t="inlineStr">
        <is>
          <t>feature_5</t>
        </is>
      </c>
      <c r="B32" s="5" t="inlineStr"/>
      <c r="C32" s="2" t="inlineStr">
        <is>
          <t>bespoke, e.g. Available individually or as a set</t>
        </is>
      </c>
    </row>
    <row r="34">
      <c r="A34" s="7" t="inlineStr">
        <is>
          <t>Fragments, written once per release. No we or our: the sheet adds our where a line needs it.</t>
        </is>
      </c>
    </row>
    <row r="35" ht="48" customHeight="1">
      <c r="A35" s="4" t="inlineStr">
        <is>
          <t>bio</t>
        </is>
      </c>
      <c r="B35" s="8" t="inlineStr">
        <is>
          <t>Maurizio Cattelan is Italy's most provocative living artist, known for satirical sculptures and for Comedian, the duct-taped banana that sold for millions at Art Basel Miami Beach in 2019.</t>
        </is>
      </c>
      <c r="C35" s="9" t="inlineStr">
        <is>
          <t>2 to 3 sentences on the artist, third person, no handle. Coming Soon post only.</t>
        </is>
      </c>
    </row>
    <row r="36" ht="48" customHeight="1">
      <c r="A36" s="4" t="inlineStr">
        <is>
          <t>hook</t>
        </is>
      </c>
      <c r="B36" s="8" t="inlineStr">
        <is>
          <t>Window reimagines Cattelan's legendary Comedian, the duct-taped banana, against hyper-realistic natural landscapes, grounding his provocative symbol in serene compositions of subtly absurd beauty.</t>
        </is>
      </c>
      <c r="C36" s="9" t="inlineStr">
        <is>
          <t>2 to 3 sentences about the work. Write it as editorially as you like; the one test is that it must read as well in the middle of an email as at the top of a post. Self-contained, no rhetorical question. It reaches 16 slots, so it is the one fragment that must stand alone.</t>
        </is>
      </c>
    </row>
    <row r="37" ht="32" customHeight="1">
      <c r="A37" s="4" t="inlineStr">
        <is>
          <t>qualifier</t>
        </is>
      </c>
      <c r="B37" s="8" t="inlineStr">
        <is>
          <t>, the artist's first print release with Avant Arte</t>
        </is>
      </c>
      <c r="C37" s="9" t="inlineStr">
        <is>
          <t>a few words after the edition phrase in the email opener, e.g. spanning five decades of the artist's career. Ten words at most, a phrase not a sentence, no we or our, no artist name. Ignored when there is a beneficiary: 'released in support of X' fills the same opening. With several works the title drops out of this line, and that is what it is for.</t>
        </is>
      </c>
    </row>
    <row r="38" ht="32" customHeight="1">
      <c r="A38" s="4" t="inlineStr">
        <is>
          <t>making</t>
        </is>
      </c>
      <c r="B38" s="8" t="inlineStr">
        <is>
          <t>Each silkscreen print was produced by printmakers at Make-Ready in four layers, sealed with a matte varnish.</t>
        </is>
      </c>
      <c r="C38" s="9" t="inlineStr">
        <is>
          <t>one sentence on how the edition was made; write 'printmakers at Make-Ready' and the sheet adds 'our'.</t>
        </is>
      </c>
    </row>
    <row r="39" ht="32" customHeight="1">
      <c r="A39" s="4" t="inlineStr">
        <is>
          <t>card_line_1</t>
        </is>
      </c>
      <c r="B39" s="8" t="inlineStr">
        <is>
          <t>The duct-taped banana of Comedian, transplanted from the gallery wall to a hyper-realistic landscape, in four silkscreen layers sealed with matte varnish.</t>
        </is>
      </c>
      <c r="C39" s="9" t="inlineStr">
        <is>
          <t>one sentence on the first work, 15 to 30 words, under its card in six emails. With several works, say something different about each: the edition is described above the cards, so do not call each one a limited edition print.</t>
        </is>
      </c>
    </row>
    <row r="40" ht="32" customHeight="1">
      <c r="A40" s="4" t="inlineStr">
        <is>
          <t>card_line_2</t>
        </is>
      </c>
      <c r="B40" s="8" t="inlineStr"/>
      <c r="C40" s="9" t="inlineStr">
        <is>
          <t>the second titled work; blank otherwise</t>
        </is>
      </c>
    </row>
    <row r="41" ht="32" customHeight="1">
      <c r="A41" s="4" t="inlineStr">
        <is>
          <t>card_line_3</t>
        </is>
      </c>
      <c r="B41" s="8" t="inlineStr"/>
      <c r="C41" s="9" t="inlineStr">
        <is>
          <t>the third; blank otherwise</t>
        </is>
      </c>
    </row>
    <row r="42" ht="32" customHeight="1">
      <c r="A42" s="4" t="inlineStr">
        <is>
          <t>quote</t>
        </is>
      </c>
      <c r="B42" s="8" t="inlineStr">
        <is>
          <t>A comedian is doomed to make people laugh.</t>
        </is>
      </c>
      <c r="C42" s="9" t="inlineStr">
        <is>
          <t>verbatim, a complete sentence, or blank</t>
        </is>
      </c>
    </row>
    <row r="44">
      <c r="A44" s="7" t="inlineStr">
        <is>
          <t>Derived (formulas, do not edit)</t>
        </is>
      </c>
    </row>
    <row r="45">
      <c r="A45" s="4" t="inlineStr">
        <is>
          <t>named</t>
        </is>
      </c>
      <c r="B45" s="10">
        <f>$B$4&amp;IF($B$6="",""," (@"&amp;$B$6&amp;")")</f>
        <v/>
      </c>
    </row>
    <row r="46">
      <c r="A46" s="4" t="inlineStr">
        <is>
          <t>named_x</t>
        </is>
      </c>
      <c r="B46" s="10">
        <f>$B$4&amp;IF($B$7="",""," (@"&amp;$B$7&amp;")")</f>
        <v/>
      </c>
    </row>
    <row r="47">
      <c r="A47" s="4" t="inlineStr">
        <is>
          <t>collab_x</t>
        </is>
      </c>
      <c r="B47" s="10">
        <f>IF($B$5=$B$4,$B$46,$B$5)</f>
        <v/>
      </c>
    </row>
    <row r="48">
      <c r="A48" s="4" t="inlineStr">
        <is>
          <t>a_unit</t>
        </is>
      </c>
      <c r="B48" s="10">
        <f>IF(OR(LEFT($B$17,1)="a",LEFT($B$17,1)="e",LEFT($B$17,1)="i",LEFT($B$17,1)="o",LEFT($B$17,1)="u"),"an ","a ")&amp;$B$17</f>
        <v/>
      </c>
    </row>
    <row r="49">
      <c r="A49" s="4" t="inlineStr">
        <is>
          <t>work</t>
        </is>
      </c>
      <c r="B49" s="10">
        <f>IF($B$14="yes","the "&amp;$B$11&amp;" series",IF($B$12="","‘"&amp;$B$11&amp;"’",IF($B$13="","‘"&amp;$B$11&amp;"’ and ‘"&amp;$B$12&amp;"’","‘"&amp;$B$11&amp;"’, ‘"&amp;$B$12&amp;"’ and ‘"&amp;$B$13&amp;"’")))</f>
        <v/>
      </c>
    </row>
    <row r="50">
      <c r="A50" s="4" t="inlineStr">
        <is>
          <t>Work</t>
        </is>
      </c>
      <c r="B50" s="10">
        <f>UPPER(LEFT($B$49,1))&amp;MID($B$49,2,999)</f>
        <v/>
      </c>
    </row>
    <row r="51">
      <c r="A51" s="4" t="inlineStr">
        <is>
          <t>work_email</t>
        </is>
      </c>
      <c r="B51" s="10">
        <f>IF($B$14="yes","the "&amp;$B$11&amp;" series",IF($B$12="",$B$11,IF($B$13="",$B$11&amp;" and "&amp;$B$12,$B$11&amp;", "&amp;$B$12&amp;" and "&amp;$B$13)))</f>
        <v/>
      </c>
    </row>
    <row r="52">
      <c r="A52" s="4" t="inlineStr">
        <is>
          <t>Work_email</t>
        </is>
      </c>
      <c r="B52" s="10">
        <f>UPPER(LEFT($B$51,1))&amp;MID($B$51,2,999)</f>
        <v/>
      </c>
    </row>
    <row r="53">
      <c r="A53" s="4" t="inlineStr">
        <is>
          <t>work_intro</t>
        </is>
      </c>
      <c r="B53" s="10">
        <f>IF($B$16=1,$B$11&amp;", ","")&amp;$B$15&amp;IF(OR($B$37="",$B$54&lt;&gt;""),"",IF(LEFT($B$37,1)=",",""," ")&amp;$B$37)</f>
        <v/>
      </c>
    </row>
    <row r="54">
      <c r="A54" s="4" t="inlineStr">
        <is>
          <t>support</t>
        </is>
      </c>
      <c r="B54" s="10">
        <f>IF(OR($B$22="",$B$57),"",", released in support of "&amp;$B$22)</f>
        <v/>
      </c>
    </row>
    <row r="55">
      <c r="A55" s="4" t="inlineStr">
        <is>
          <t>beneficiary_tagged</t>
        </is>
      </c>
      <c r="B55" s="10">
        <f>IF($B$22="","",$B$22&amp;IF($B$23="",""," (@"&amp;$B$23&amp;")"))</f>
        <v/>
      </c>
    </row>
    <row r="56" ht="80" customHeight="1">
      <c r="A56" s="4" t="inlineStr">
        <is>
          <t>bio_tagged</t>
        </is>
      </c>
      <c r="B56" s="10">
        <f>IF($B$6="",$B$35,SUBSTITUTE($B$35,$B$4,$B$45,1))</f>
        <v/>
      </c>
    </row>
    <row r="57">
      <c r="A57" s="4" t="inlineStr">
        <is>
          <t>hook_names_beneficiary</t>
        </is>
      </c>
      <c r="B57" s="10">
        <f>IF($B$22="",FALSE,ISNUMBER(SEARCH($B$22,$B$36)))</f>
        <v/>
      </c>
    </row>
    <row r="58">
      <c r="A58" s="4" t="inlineStr">
        <is>
          <t>features</t>
        </is>
      </c>
      <c r="B58" s="10">
        <f>$B$28&amp;IF($B$29="","",". "&amp;$B$29)&amp;IF($B$30="","",". "&amp;$B$30)&amp;IF($B$31="","",". "&amp;$B$31)&amp;IF($B$32="","",". "&amp;$B$32)&amp;"."</f>
        <v/>
      </c>
    </row>
    <row r="59" ht="60" customHeight="1">
      <c r="A59" s="4" t="inlineStr">
        <is>
          <t>features_list</t>
        </is>
      </c>
      <c r="B59" s="10">
        <f>"· "&amp;$B$28&amp;IF($B$29="","",CHAR(10)&amp;"· "&amp;$B$29)&amp;IF($B$30="","",CHAR(10)&amp;"· "&amp;$B$30)&amp;IF($B$31="","",CHAR(10)&amp;"· "&amp;$B$31)&amp;IF($B$32="","",CHAR(10)&amp;"· "&amp;$B$32)</f>
        <v/>
      </c>
    </row>
    <row r="60" ht="70" customHeight="1">
      <c r="A60" s="4" t="inlineStr">
        <is>
          <t>features_list_support</t>
        </is>
      </c>
      <c r="B60" s="10">
        <f>$B$59&amp;IF(OR($B$22="",$B$57),"",CHAR(10)&amp;"· Released in support of "&amp;$B$22)</f>
        <v/>
      </c>
    </row>
    <row r="61">
      <c r="A61" s="4" t="inlineStr">
        <is>
          <t>making_ours</t>
        </is>
      </c>
      <c r="B61" s="10">
        <f>SUBSTITUTE($B$38,"printmakers at Make-Ready","our printmakers at Make-Ready")</f>
        <v/>
      </c>
    </row>
    <row r="62">
      <c r="A62" s="4" t="inlineStr">
        <is>
          <t>making_ours_tagged</t>
        </is>
      </c>
      <c r="B62" s="10">
        <f>SUBSTITUTE($B$38,"printmakers at Make-Ready","our printmakers at Make-Ready (@make__ready)")</f>
        <v/>
      </c>
    </row>
    <row r="63">
      <c r="A63" s="4" t="inlineStr">
        <is>
          <t>launch_date</t>
        </is>
      </c>
      <c r="B63" s="10">
        <f>TEXT($B$20,"d mmmm")</f>
        <v/>
      </c>
    </row>
    <row r="64">
      <c r="A64" s="4" t="inlineStr">
        <is>
          <t>launch_time</t>
        </is>
      </c>
      <c r="B64" s="10">
        <f>TEXT($B$20,"hh:mm")&amp;" UK time"</f>
        <v/>
      </c>
    </row>
    <row r="65">
      <c r="A65" s="4" t="inlineStr">
        <is>
          <t>launch_weekday</t>
        </is>
      </c>
      <c r="B65" s="10">
        <f>TEXT($B$20,"dddd")</f>
        <v/>
      </c>
    </row>
    <row r="66">
      <c r="A66" s="4" t="inlineStr">
        <is>
          <t>launch_date_dd</t>
        </is>
      </c>
      <c r="B66" s="10">
        <f>TEXT($B$20,"dd mmmm")</f>
        <v/>
      </c>
    </row>
    <row r="67">
      <c r="A67" s="4" t="inlineStr">
        <is>
          <t>close_date</t>
        </is>
      </c>
      <c r="B67" s="10">
        <f>TEXT($B$21,"d mmmm")</f>
        <v/>
      </c>
    </row>
    <row r="68">
      <c r="A68" s="4" t="inlineStr">
        <is>
          <t>close_time</t>
        </is>
      </c>
      <c r="B68" s="10">
        <f>TEXT($B$21,"hh:mm")&amp;" UK time"</f>
        <v/>
      </c>
    </row>
    <row r="69">
      <c r="A69" s="4" t="inlineStr">
        <is>
          <t>close_weekday</t>
        </is>
      </c>
      <c r="B69" s="10">
        <f>TEXT($B$21,"dddd")</f>
        <v/>
      </c>
    </row>
    <row r="70">
      <c r="A70" s="4" t="inlineStr">
        <is>
          <t>close_date_dd</t>
        </is>
      </c>
      <c r="B70" s="10">
        <f>TEXT($B$21,"dd mmmm")</f>
        <v/>
      </c>
    </row>
    <row r="71">
      <c r="A71" s="4" t="inlineStr">
        <is>
          <t>collect_phrase</t>
        </is>
      </c>
      <c r="B71" s="10">
        <f>SUBSTITUTE($B$15," new "," ",1)</f>
        <v/>
      </c>
    </row>
    <row r="72">
      <c r="A72" s="4" t="inlineStr">
        <is>
          <t>edition_phrase_cap</t>
        </is>
      </c>
      <c r="B72" s="10">
        <f>UPPER(LEFT($B$15,1))&amp;MID($B$15,2,999)</f>
        <v/>
      </c>
    </row>
    <row r="73">
      <c r="A73" s="4" t="inlineStr">
        <is>
          <t>window_cap</t>
        </is>
      </c>
      <c r="B73" s="10">
        <f>UPPER(LEFT($B$19,1))&amp;MID($B$19,2,999)</f>
        <v/>
      </c>
    </row>
    <row r="74">
      <c r="A74" s="4" t="inlineStr">
        <is>
          <t>card</t>
        </is>
      </c>
      <c r="B74" s="10">
        <f>IF($B$14="yes","Untitled",$B$11)&amp;IF($B$39="","",CHAR(10)&amp;$B$39)&amp;IF($B$12="","",CHAR(10)&amp;CHAR(10)&amp;"Card: "&amp;$B$12&amp;IF($B$40="","",CHAR(10)&amp;$B$40))&amp;IF($B$13="","",CHAR(10)&amp;CHAR(10)&amp;"Card: "&amp;$B$13&amp;IF($B$41="","",CHAR(10)&amp;$B$41))</f>
        <v/>
      </c>
    </row>
    <row r="75">
      <c r="A75" s="4" t="inlineStr">
        <is>
          <t>quote_line</t>
        </is>
      </c>
      <c r="B75" s="10">
        <f>IF($B$42="","","“"&amp;$B$42&amp;"” – "&amp;$B$4)</f>
        <v/>
      </c>
    </row>
    <row r="76">
      <c r="A76" s="4" t="inlineStr">
        <is>
          <t>each_artwork</t>
        </is>
      </c>
      <c r="B76" s="10">
        <f>IF($B$16&gt;1," for each artwork","")</f>
        <v/>
      </c>
    </row>
    <row r="77">
      <c r="A77" s="4" t="inlineStr">
        <is>
          <t>work_word</t>
        </is>
      </c>
      <c r="B77" s="10">
        <f>IF($B$16&gt;1,"works","work")</f>
        <v/>
      </c>
    </row>
    <row r="78">
      <c r="A78" s="4" t="inlineStr">
        <is>
          <t>add_what</t>
        </is>
      </c>
      <c r="B78" s="10">
        <f>IF($B$16&gt;1,$B$48,$B$51)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1"/>
  <sheetViews>
    <sheetView workbookViewId="0">
      <selection activeCell="A1" sqref="A1"/>
    </sheetView>
  </sheetViews>
  <sheetFormatPr baseColWidth="8" defaultRowHeight="15"/>
  <cols>
    <col width="40" customWidth="1" min="1" max="1"/>
    <col width="70" customWidth="1" min="2" max="2"/>
    <col width="70" customWidth="1" min="3" max="3"/>
  </cols>
  <sheetData>
    <row r="1">
      <c r="A1" s="1" t="inlineStr">
        <is>
          <t>The fixed sentences, with the placeholders they take</t>
        </is>
      </c>
    </row>
    <row r="2">
      <c r="A2" s="2" t="inlineStr">
        <is>
          <t>This is the whole system's copy, for the posts, the tweets and the emails. Edit a blue cell to change every future release. Column C fills the placeholders from Inputs.</t>
        </is>
      </c>
    </row>
    <row r="3">
      <c r="A3" s="3" t="inlineStr">
        <is>
          <t>Key</t>
        </is>
      </c>
      <c r="B3" s="3" t="inlineStr">
        <is>
          <t>Line, with placeholders</t>
        </is>
      </c>
      <c r="C3" s="3" t="inlineStr">
        <is>
          <t>Filled from Inputs</t>
        </is>
      </c>
    </row>
    <row r="4">
      <c r="A4" s="3" t="inlineStr">
        <is>
          <t>POSTS</t>
        </is>
      </c>
    </row>
    <row r="5" ht="16" customHeight="1">
      <c r="A5" s="4" t="inlineStr">
        <is>
          <t>post · coming soon · status</t>
        </is>
      </c>
      <c r="B5" s="8" t="inlineStr">
        <is>
          <t>Our {ordinal} collaboration is on the horizon.</t>
        </is>
      </c>
      <c r="C5" s="10">
        <f>SUBSTITUTE(B5,"{ordinal}",Inputs!$B$10)</f>
        <v/>
      </c>
    </row>
    <row r="6" ht="16" customHeight="1">
      <c r="A6" s="4" t="inlineStr">
        <is>
          <t>post · announce · status</t>
        </is>
      </c>
      <c r="B6" s="8" t="inlineStr">
        <is>
          <t>Announcing {work}, {edition_phrase} by {named}.</t>
        </is>
      </c>
      <c r="C6" s="10">
        <f>SUBSTITUTE(SUBSTITUTE(SUBSTITUTE(B6,"{named}",Inputs!$B$45),"{work}",Inputs!$B$49),"{edition_phrase}",Inputs!$B$15)</f>
        <v/>
      </c>
    </row>
    <row r="7" ht="16" customHeight="1">
      <c r="A7" s="4" t="inlineStr">
        <is>
          <t>post · announce · status, series</t>
        </is>
      </c>
      <c r="B7" s="8" t="inlineStr">
        <is>
          <t>Announcing {edition_phrase} by {named}, from {work}.</t>
        </is>
      </c>
      <c r="C7" s="10">
        <f>SUBSTITUTE(SUBSTITUTE(SUBSTITUTE(B7,"{named}",Inputs!$B$45),"{work}",Inputs!$B$49),"{edition_phrase}",Inputs!$B$15)</f>
        <v/>
      </c>
    </row>
    <row r="8" ht="16" customHeight="1">
      <c r="A8" s="4" t="inlineStr">
        <is>
          <t>post · sustain · status</t>
        </is>
      </c>
      <c r="B8" s="8" t="inlineStr">
        <is>
          <t>A closer look at {work}, {edition_phrase} by {named}.</t>
        </is>
      </c>
      <c r="C8" s="10">
        <f>SUBSTITUTE(SUBSTITUTE(SUBSTITUTE(B8,"{named}",Inputs!$B$45),"{work}",Inputs!$B$49),"{edition_phrase}",Inputs!$B$15)</f>
        <v/>
      </c>
    </row>
    <row r="9" ht="16" customHeight="1">
      <c r="A9" s="4" t="inlineStr">
        <is>
          <t>post · artist's words · status</t>
        </is>
      </c>
      <c r="B9" s="8" t="inlineStr">
        <is>
          <t>“{quote}” – {artist}</t>
        </is>
      </c>
      <c r="C9" s="10">
        <f>SUBSTITUTE(SUBSTITUTE(B9,"{artist}",Inputs!$B$4),"{quote}",Inputs!$B$42)</f>
        <v/>
      </c>
    </row>
    <row r="10" ht="16" customHeight="1">
      <c r="A10" s="4" t="inlineStr">
        <is>
          <t>post · artist's words · second line</t>
        </is>
      </c>
      <c r="B10" s="8" t="inlineStr">
        <is>
          <t>{Work}, {edition_phrase} by {named}.</t>
        </is>
      </c>
      <c r="C10" s="10">
        <f>SUBSTITUTE(SUBSTITUTE(SUBSTITUTE(B10,"{named}",Inputs!$B$45),"{Work}",Inputs!$B$50),"{edition_phrase}",Inputs!$B$15)</f>
        <v/>
      </c>
    </row>
    <row r="11" ht="16" customHeight="1">
      <c r="A11" s="4" t="inlineStr">
        <is>
          <t>post · live · status</t>
        </is>
      </c>
      <c r="B11" s="8" t="inlineStr">
        <is>
          <t>{Work} by {named} is now available to collect, for {window} only.</t>
        </is>
      </c>
      <c r="C11" s="10">
        <f>SUBSTITUTE(SUBSTITUTE(SUBSTITUTE(B11,"{named}",Inputs!$B$45),"{Work}",Inputs!$B$50),"{window}",Inputs!$B$19)</f>
        <v/>
      </c>
    </row>
    <row r="12" ht="16" customHeight="1">
      <c r="A12" s="4" t="inlineStr">
        <is>
          <t>post · still time · status</t>
        </is>
      </c>
      <c r="B12" s="8" t="inlineStr">
        <is>
          <t>There's still time to collect {work} by {named}.</t>
        </is>
      </c>
      <c r="C12" s="10">
        <f>SUBSTITUTE(SUBSTITUTE(B12,"{named}",Inputs!$B$45),"{work}",Inputs!$B$49)</f>
        <v/>
      </c>
    </row>
    <row r="13" ht="16" customHeight="1">
      <c r="A13" s="4" t="inlineStr">
        <is>
          <t>post · last chance · status</t>
        </is>
      </c>
      <c r="B13" s="8" t="inlineStr">
        <is>
          <t>Last chance to collect {work} by {named}.</t>
        </is>
      </c>
      <c r="C13" s="10">
        <f>SUBSTITUTE(SUBSTITUTE(B13,"{named}",Inputs!$B$45),"{work}",Inputs!$B$49)</f>
        <v/>
      </c>
    </row>
    <row r="14" ht="16" customHeight="1">
      <c r="A14" s="4" t="inlineStr">
        <is>
          <t>post · last chance · status, draw</t>
        </is>
      </c>
      <c r="B14" s="8" t="inlineStr">
        <is>
          <t>Last chance to enter the draw for {work} by {named}.</t>
        </is>
      </c>
      <c r="C14" s="10">
        <f>SUBSTITUTE(SUBSTITUTE(B14,"{named}",Inputs!$B$45),"{work}",Inputs!$B$49)</f>
        <v/>
      </c>
    </row>
    <row r="15" ht="16" customHeight="1">
      <c r="A15" s="4" t="inlineStr">
        <is>
          <t>post · features line</t>
        </is>
      </c>
      <c r="B15" s="8" t="inlineStr">
        <is>
          <t>{features}</t>
        </is>
      </c>
      <c r="C15" s="10">
        <f>SUBSTITUTE(B15,"{features}",Inputs!$B$58)</f>
        <v/>
      </c>
    </row>
    <row r="16" ht="16" customHeight="1">
      <c r="A16" s="4" t="inlineStr">
        <is>
          <t>post · beneficiary line</t>
        </is>
      </c>
      <c r="B16" s="8" t="inlineStr">
        <is>
          <t>Released in support of {beneficiary_tagged}.</t>
        </is>
      </c>
      <c r="C16" s="10">
        <f>SUBSTITUTE(B16,"{beneficiary_tagged}",Inputs!$B$55)</f>
        <v/>
      </c>
    </row>
    <row r="17" ht="32" customHeight="1">
      <c r="A17" s="4" t="inlineStr">
        <is>
          <t>post · action before launch, timed</t>
        </is>
      </c>
      <c r="B17" s="8" t="inlineStr">
        <is>
          <t>Available for {window} from {launch_time} on {launch_date}. Link in bio to get updates.</t>
        </is>
      </c>
      <c r="C17" s="10">
        <f>SUBSTITUTE(SUBSTITUTE(SUBSTITUTE(B17,"{window}",Inputs!$B$19),"{launch_date}",Inputs!$B$63),"{launch_time}",Inputs!$B$64)</f>
        <v/>
      </c>
    </row>
    <row r="18" ht="32" customHeight="1">
      <c r="A18" s="4" t="inlineStr">
        <is>
          <t>post · action before launch, draw</t>
        </is>
      </c>
      <c r="B18" s="8" t="inlineStr">
        <is>
          <t>Enter the draw via our link in bio. Closes {close_date} at {close_time}.</t>
        </is>
      </c>
      <c r="C18" s="10">
        <f>SUBSTITUTE(SUBSTITUTE(B18,"{close_date}",Inputs!$B$67),"{close_time}",Inputs!$B$68)</f>
        <v/>
      </c>
    </row>
    <row r="19" ht="16" customHeight="1">
      <c r="A19" s="4" t="inlineStr">
        <is>
          <t>post · action while open, timed</t>
        </is>
      </c>
      <c r="B19" s="8" t="inlineStr">
        <is>
          <t>Link in bio to buy {a_unit}. Closes {close_date} at {close_time}.</t>
        </is>
      </c>
      <c r="C19" s="10">
        <f>SUBSTITUTE(SUBSTITUTE(SUBSTITUTE(B19,"{a_unit}",Inputs!$B$48),"{close_date}",Inputs!$B$67),"{close_time}",Inputs!$B$68)</f>
        <v/>
      </c>
    </row>
    <row r="20" ht="32" customHeight="1">
      <c r="A20" s="4" t="inlineStr">
        <is>
          <t>post · action while open, draw</t>
        </is>
      </c>
      <c r="B20" s="8" t="inlineStr">
        <is>
          <t>Enter the draw via our link in bio. Closes {close_date} at {close_time}.</t>
        </is>
      </c>
      <c r="C20" s="10">
        <f>SUBSTITUTE(SUBSTITUTE(B20,"{close_date}",Inputs!$B$67),"{close_time}",Inputs!$B$68)</f>
        <v/>
      </c>
    </row>
    <row r="21" ht="16" customHeight="1">
      <c r="A21" s="4" t="inlineStr">
        <is>
          <t>post · coming soon · action</t>
        </is>
      </c>
      <c r="B21" s="8" t="inlineStr">
        <is>
          <t>Link in bio to get updates.</t>
        </is>
      </c>
      <c r="C21" s="10">
        <f>B21</f>
        <v/>
      </c>
    </row>
    <row r="22" ht="16" customHeight="1">
      <c r="A22" s="4" t="inlineStr">
        <is>
          <t>post · hashtag</t>
        </is>
      </c>
      <c r="B22" s="8" t="inlineStr">
        <is>
          <t>#{hashtag}</t>
        </is>
      </c>
      <c r="C22" s="10">
        <f>SUBSTITUTE(B22,"{hashtag}",Inputs!$B$9)</f>
        <v/>
      </c>
    </row>
    <row r="23">
      <c r="A23" s="3" t="inlineStr">
        <is>
          <t>TWEETS</t>
        </is>
      </c>
    </row>
    <row r="24" ht="16" customHeight="1">
      <c r="A24" s="4" t="inlineStr">
        <is>
          <t>tweet · coming soon · status</t>
        </is>
      </c>
      <c r="B24" s="8" t="inlineStr">
        <is>
          <t>Our {ordinal} collaboration with {collab_x} is on the horizon.</t>
        </is>
      </c>
      <c r="C24" s="10">
        <f>SUBSTITUTE(SUBSTITUTE(B24,"{collab_x}",Inputs!$B$47),"{ordinal}",Inputs!$B$10)</f>
        <v/>
      </c>
    </row>
    <row r="25" ht="16" customHeight="1">
      <c r="A25" s="4" t="inlineStr">
        <is>
          <t>tweet · coming soon · action</t>
        </is>
      </c>
      <c r="B25" s="8" t="inlineStr">
        <is>
          <t>Sign up for updates: {link}</t>
        </is>
      </c>
      <c r="C25" s="10">
        <f>SUBSTITUTE(B25,"{link}",Inputs!$B$8)</f>
        <v/>
      </c>
    </row>
    <row r="26" ht="16" customHeight="1">
      <c r="A26" s="4" t="inlineStr">
        <is>
          <t>tweet · beneficiary line</t>
        </is>
      </c>
      <c r="B26" s="8" t="inlineStr">
        <is>
          <t>Released in support of {beneficiary}.</t>
        </is>
      </c>
      <c r="C26" s="10">
        <f>SUBSTITUTE(B26,"{beneficiary}",Inputs!$B$22)</f>
        <v/>
      </c>
    </row>
    <row r="27" ht="32" customHeight="1">
      <c r="A27" s="4" t="inlineStr">
        <is>
          <t>tweet · action before launch, timed</t>
        </is>
      </c>
      <c r="B27" s="8" t="inlineStr">
        <is>
          <t>Available for {window} from {launch_time} on {launch_date}. Sign up for updates: {link}</t>
        </is>
      </c>
      <c r="C27" s="10">
        <f>SUBSTITUTE(SUBSTITUTE(SUBSTITUTE(SUBSTITUTE(B27,"{link}",Inputs!$B$8),"{window}",Inputs!$B$19),"{launch_date}",Inputs!$B$63),"{launch_time}",Inputs!$B$64)</f>
        <v/>
      </c>
    </row>
    <row r="28" ht="16" customHeight="1">
      <c r="A28" s="4" t="inlineStr">
        <is>
          <t>tweet · action, draw</t>
        </is>
      </c>
      <c r="B28" s="8" t="inlineStr">
        <is>
          <t>Closes {close_date} at {close_time}. Enter the draw: {link}</t>
        </is>
      </c>
      <c r="C28" s="10">
        <f>SUBSTITUTE(SUBSTITUTE(SUBSTITUTE(B28,"{link}",Inputs!$B$8),"{close_date}",Inputs!$B$67),"{close_time}",Inputs!$B$68)</f>
        <v/>
      </c>
    </row>
    <row r="29" ht="16" customHeight="1">
      <c r="A29" s="4" t="inlineStr">
        <is>
          <t>tweet · action while open, timed</t>
        </is>
      </c>
      <c r="B29" s="8" t="inlineStr">
        <is>
          <t>Closes {close_date} at {close_time}. Buy {a_unit}: {link}</t>
        </is>
      </c>
      <c r="C29" s="10">
        <f>SUBSTITUTE(SUBSTITUTE(SUBSTITUTE(SUBSTITUTE(B29,"{link}",Inputs!$B$8),"{a_unit}",Inputs!$B$48),"{close_date}",Inputs!$B$67),"{close_time}",Inputs!$B$68)</f>
        <v/>
      </c>
    </row>
    <row r="30">
      <c r="A30" s="3" t="inlineStr">
        <is>
          <t>EMAILS · shared</t>
        </is>
      </c>
    </row>
    <row r="31" ht="16" customHeight="1">
      <c r="A31" s="4" t="inlineStr">
        <is>
          <t>email · greeting</t>
        </is>
      </c>
      <c r="B31" s="8" t="inlineStr">
        <is>
          <t>Hi {{ personalization_token('contact.firstname', 'there') }},</t>
        </is>
      </c>
      <c r="C31" s="10">
        <f>B31</f>
        <v/>
      </c>
    </row>
    <row r="32" ht="32" customHeight="1">
      <c r="A32" s="4" t="inlineStr">
        <is>
          <t>email · questions line</t>
        </is>
      </c>
      <c r="B32" s="8" t="inlineStr">
        <is>
          <t>If you have any questions, please don't hesitate to get in touch by replying to this email.</t>
        </is>
      </c>
      <c r="C32" s="10">
        <f>B32</f>
        <v/>
      </c>
    </row>
    <row r="33" ht="32" customHeight="1">
      <c r="A33" s="4" t="inlineStr">
        <is>
          <t>email · draw line</t>
        </is>
      </c>
      <c r="B33" s="8" t="inlineStr">
        <is>
          <t>Enter the draw for a chance to collect. Closes at {close_time} on {close_date}.</t>
        </is>
      </c>
      <c r="C33" s="10">
        <f>SUBSTITUTE(SUBSTITUTE(B33,"{close_date}",Inputs!$B$67),"{close_time}",Inputs!$B$68)</f>
        <v/>
      </c>
    </row>
    <row r="34" ht="64" customHeight="1">
      <c r="A34" s="4" t="inlineStr">
        <is>
          <t>email · edition numbers line</t>
        </is>
      </c>
      <c r="B34" s="8" t="inlineStr">
        <is>
          <t>Earlier orders will typically receive a lower edition number, with framed editions receiving lower edition numbers than unframed prints. You can read more on how we allocate edition numbers across a release here.</t>
        </is>
      </c>
      <c r="C34" s="10">
        <f>B34</f>
        <v/>
      </c>
    </row>
    <row r="35" ht="16" customHeight="1">
      <c r="A35" s="4" t="inlineStr">
        <is>
          <t>email · kicker · collect</t>
        </is>
      </c>
      <c r="B35" s="8" t="inlineStr">
        <is>
          <t>Collect {a_unit} by {artist}</t>
        </is>
      </c>
      <c r="C35" s="10">
        <f>SUBSTITUTE(SUBSTITUTE(B35,"{artist}",Inputs!$B$4),"{a_unit}",Inputs!$B$48)</f>
        <v/>
      </c>
    </row>
    <row r="36" ht="32" customHeight="1">
      <c r="A36" s="4" t="inlineStr">
        <is>
          <t>email · framing offer · welcome</t>
        </is>
      </c>
      <c r="B36" s="8" t="inlineStr">
        <is>
          <t>As a welcome gesture, enjoy {framing_percent}% off our in-house framing on your first purchase using the code {framing_code} at checkout.</t>
        </is>
      </c>
      <c r="C36" s="10">
        <f>SUBSTITUTE(SUBSTITUTE(B36,"{framing_code}",Inputs!$B$26),"{framing_percent}",Inputs!$B$27)</f>
        <v/>
      </c>
    </row>
    <row r="37" ht="32" customHeight="1">
      <c r="A37" s="4" t="inlineStr">
        <is>
          <t>email · framing offer · reminder</t>
        </is>
      </c>
      <c r="B37" s="8" t="inlineStr">
        <is>
          <t>As a reminder, you can enjoy {framing_percent}% off our in-house framing on your first purchase using the code {framing_code} at checkout.</t>
        </is>
      </c>
      <c r="C37" s="10">
        <f>SUBSTITUTE(SUBSTITUTE(B37,"{framing_code}",Inputs!$B$26),"{framing_percent}",Inputs!$B$27)</f>
        <v/>
      </c>
    </row>
    <row r="38">
      <c r="A38" s="3" t="inlineStr">
        <is>
          <t>EMAILS · announcement</t>
        </is>
      </c>
    </row>
    <row r="39" ht="16" customHeight="1">
      <c r="A39" s="4" t="inlineStr">
        <is>
          <t>email · announce · subject</t>
        </is>
      </c>
      <c r="B39" s="8" t="inlineStr">
        <is>
          <t>{artist} – {edition_phrase_cap}</t>
        </is>
      </c>
      <c r="C39" s="10">
        <f>SUBSTITUTE(SUBSTITUTE(B39,"{artist}",Inputs!$B$4),"{edition_phrase_cap}",Inputs!$B$72)</f>
        <v/>
      </c>
    </row>
    <row r="40" ht="32" customHeight="1">
      <c r="A40" s="4" t="inlineStr">
        <is>
          <t>email · announce · opener</t>
        </is>
      </c>
      <c r="B40" s="8" t="inlineStr">
        <is>
          <t>We're delighted to announce our {ordinal} collaboration with {collab_with} – {work_intro}{support}.</t>
        </is>
      </c>
      <c r="C40" s="10">
        <f>SUBSTITUTE(SUBSTITUTE(SUBSTITUTE(SUBSTITUTE(B40,"{collab_with}",Inputs!$B$5),"{work_intro}",Inputs!$B$53),"{support}",Inputs!$B$54),"{ordinal}",Inputs!$B$10)</f>
        <v/>
      </c>
    </row>
    <row r="41" ht="32" customHeight="1">
      <c r="A41" s="4" t="inlineStr">
        <is>
          <t>email · announce · launch line, timed</t>
        </is>
      </c>
      <c r="B41" s="8" t="inlineStr">
        <is>
          <t>The edition will be available to collect for {window} only, starting at {launch_time} on {launch_weekday}, {launch_date_dd}.</t>
        </is>
      </c>
      <c r="C41" s="10">
        <f>SUBSTITUTE(SUBSTITUTE(SUBSTITUTE(SUBSTITUTE(B41,"{window}",Inputs!$B$19),"{launch_time}",Inputs!$B$64),"{launch_weekday}",Inputs!$B$65),"{launch_date_dd}",Inputs!$B$66)</f>
        <v/>
      </c>
    </row>
    <row r="42" ht="16" customHeight="1">
      <c r="A42" s="4" t="inlineStr">
        <is>
          <t>email · announce · register line</t>
        </is>
      </c>
      <c r="B42" s="8" t="inlineStr">
        <is>
          <t>Click below to learn more and register for updates.</t>
        </is>
      </c>
      <c r="C42" s="10">
        <f>B42</f>
        <v/>
      </c>
    </row>
    <row r="43">
      <c r="A43" s="3" t="inlineStr">
        <is>
          <t>EMAILS · welcome (TL flow)</t>
        </is>
      </c>
    </row>
    <row r="44" ht="32" customHeight="1">
      <c r="A44" s="4" t="inlineStr">
        <is>
          <t>email · welcome · 1</t>
        </is>
      </c>
      <c r="B44" s="8" t="inlineStr">
        <is>
          <t>Welcome {{ personalization_token('contact.firstname', 'to Avant Arte') }}!</t>
        </is>
      </c>
      <c r="C44" s="10">
        <f>B44</f>
        <v/>
      </c>
    </row>
    <row r="45" ht="64" customHeight="1">
      <c r="A45" s="4" t="inlineStr">
        <is>
          <t>email · welcome · 2</t>
        </is>
      </c>
      <c r="B45" s="8" t="inlineStr">
        <is>
          <t>Avant Arte began with a simple mission – to make collecting art more accessible. Since then, we've collaborated with hundreds of inspiring artists, from rising stars to icons like Ai Weiwei, Jenny Holzer, Lee Ufan and Carrie Mae Weems.</t>
        </is>
      </c>
      <c r="C45" s="10">
        <f>B45</f>
        <v/>
      </c>
    </row>
    <row r="46" ht="64" customHeight="1">
      <c r="A46" s="4" t="inlineStr">
        <is>
          <t>email · welcome · 3</t>
        </is>
      </c>
      <c r="B46" s="8" t="inlineStr">
        <is>
          <t>Our upcoming collaboration with {collab_with} is the latest in this lineage. If you're new to collecting art or curious about limited editions, our library of guides is a good place to start. In particular, How to collect art and What is an edition?</t>
        </is>
      </c>
      <c r="C46" s="10">
        <f>SUBSTITUTE(B46,"{collab_with}",Inputs!$B$5)</f>
        <v/>
      </c>
    </row>
    <row r="47" ht="32" customHeight="1">
      <c r="A47" s="4" t="inlineStr">
        <is>
          <t>email · welcome · 4</t>
        </is>
      </c>
      <c r="B47" s="8" t="inlineStr">
        <is>
          <t>Let us know if you have any questions. We're excited to see what you collect.</t>
        </is>
      </c>
      <c r="C47" s="10">
        <f>B47</f>
        <v/>
      </c>
    </row>
    <row r="48">
      <c r="A48" s="3" t="inlineStr">
        <is>
          <t>EMAILS · early access</t>
        </is>
      </c>
    </row>
    <row r="49" ht="32" customHeight="1">
      <c r="A49" s="4" t="inlineStr">
        <is>
          <t>email · early access, timed · opener</t>
        </is>
      </c>
      <c r="B49" s="8" t="inlineStr">
        <is>
          <t>Our {ordinal} collaboration with {collab_with} launches tomorrow at {launch_time} and will be available to collect for {window} only.</t>
        </is>
      </c>
      <c r="C49" s="10">
        <f>SUBSTITUTE(SUBSTITUTE(SUBSTITUTE(SUBSTITUTE(B49,"{collab_with}",Inputs!$B$5),"{ordinal}",Inputs!$B$10),"{window}",Inputs!$B$19),"{launch_time}",Inputs!$B$64)</f>
        <v/>
      </c>
    </row>
    <row r="50" ht="32" customHeight="1">
      <c r="A50" s="4" t="inlineStr">
        <is>
          <t>email · early access, timed · registered line</t>
        </is>
      </c>
      <c r="B50" s="8" t="inlineStr">
        <is>
          <t>As a thank you for registering for updates, we're offering you the chance to collect the release 24 hours before everyone else.</t>
        </is>
      </c>
      <c r="C50" s="10">
        <f>B50</f>
        <v/>
      </c>
    </row>
    <row r="51" ht="32" customHeight="1">
      <c r="A51" s="4" t="inlineStr">
        <is>
          <t>email · early access, timed · past collectors line</t>
        </is>
      </c>
      <c r="B51" s="8" t="inlineStr">
        <is>
          <t>As a previous collector of the artist, we're offering you the chance to order the collaboration 24 hours before everyone else.</t>
        </is>
      </c>
      <c r="C51" s="10">
        <f>B51</f>
        <v/>
      </c>
    </row>
    <row r="52" ht="16" customHeight="1">
      <c r="A52" s="4" t="inlineStr">
        <is>
          <t>email · early access, timed · unlock line</t>
        </is>
      </c>
      <c r="B52" s="8" t="inlineStr">
        <is>
          <t>Unlock early access using the link below.</t>
        </is>
      </c>
      <c r="C52" s="10">
        <f>B52</f>
        <v/>
      </c>
    </row>
    <row r="53" ht="32" customHeight="1">
      <c r="A53" s="4" t="inlineStr">
        <is>
          <t>email · early access, draw · 1</t>
        </is>
      </c>
      <c r="B53" s="8" t="inlineStr">
        <is>
          <t>We're currently preparing the launch of our {ordinal} collaboration with {collab_with} – {work_intro}{support}.</t>
        </is>
      </c>
      <c r="C53" s="10">
        <f>SUBSTITUTE(SUBSTITUTE(SUBSTITUTE(SUBSTITUTE(B53,"{collab_with}",Inputs!$B$5),"{work_intro}",Inputs!$B$53),"{support}",Inputs!$B$54),"{ordinal}",Inputs!$B$10)</f>
        <v/>
      </c>
    </row>
    <row r="54" ht="96" customHeight="1">
      <c r="A54" s="4" t="inlineStr">
        <is>
          <t>email · early access, draw · 2</t>
        </is>
      </c>
      <c r="B54" s="8" t="inlineStr">
        <is>
          <t>The edition will launch publicly on {launch_date} and will be allocated by a randomised draw; however, for the next 48 hours we're offering a small group of collectors a first look, plus access to a limited number of pre-orders. Based on your order history and the artists you've expressed an interest in, I thought the edition would be a good fit for your collection.</t>
        </is>
      </c>
      <c r="C54" s="10">
        <f>SUBSTITUTE(B54,"{launch_date}",Inputs!$B$63)</f>
        <v/>
      </c>
    </row>
    <row r="55" ht="32" customHeight="1">
      <c r="A55" s="4" t="inlineStr">
        <is>
          <t>email · early access, draw · 3</t>
        </is>
      </c>
      <c r="B55" s="8" t="inlineStr">
        <is>
          <t>Explore the artwork and place your order via the private link below. Use code {early_access_code} to unlock early access.</t>
        </is>
      </c>
      <c r="C55" s="10">
        <f>SUBSTITUTE(B55,"{early_access_code}",Inputs!$B$25)</f>
        <v/>
      </c>
    </row>
    <row r="56" ht="32" customHeight="1">
      <c r="A56" s="4" t="inlineStr">
        <is>
          <t>email · insiders · opener</t>
        </is>
      </c>
      <c r="B56" s="8" t="inlineStr">
        <is>
          <t>I'm delighted to share our {ordinal} collaboration with {collab_with} – {work_intro}{support}.</t>
        </is>
      </c>
      <c r="C56" s="10">
        <f>SUBSTITUTE(SUBSTITUTE(SUBSTITUTE(SUBSTITUTE(B56,"{collab_with}",Inputs!$B$5),"{work_intro}",Inputs!$B$53),"{support}",Inputs!$B$54),"{ordinal}",Inputs!$B$10)</f>
        <v/>
      </c>
    </row>
    <row r="57" ht="64" customHeight="1">
      <c r="A57" s="4" t="inlineStr">
        <is>
          <t>email · insiders · mechanics, draw</t>
        </is>
      </c>
      <c r="B57" s="8" t="inlineStr">
        <is>
          <t>The edition will launch publicly on {launch_date} and will be allocated by a randomised draw. However, for the next 48 hours, I'm excited to offer you a first look, plus early access to a limited number of pre-orders.</t>
        </is>
      </c>
      <c r="C57" s="10">
        <f>SUBSTITUTE(B57,"{launch_date}",Inputs!$B$63)</f>
        <v/>
      </c>
    </row>
    <row r="58" ht="48" customHeight="1">
      <c r="A58" s="4" t="inlineStr">
        <is>
          <t>email · insiders · mechanics, timed</t>
        </is>
      </c>
      <c r="B58" s="8" t="inlineStr">
        <is>
          <t>The edition launches tomorrow at {launch_time} and will be available to collect for {window} only. For the next 24 hours, I'm excited to offer you early access ahead of the public launch.</t>
        </is>
      </c>
      <c r="C58" s="10">
        <f>SUBSTITUTE(SUBSTITUTE(B58,"{window}",Inputs!$B$19),"{launch_time}",Inputs!$B$64)</f>
        <v/>
      </c>
    </row>
    <row r="59" ht="32" customHeight="1">
      <c r="A59" s="4" t="inlineStr">
        <is>
          <t>email · insiders · code line, draw</t>
        </is>
      </c>
      <c r="B59" s="8" t="inlineStr">
        <is>
          <t>Discover the artwork and place your order via the private link below. Use code {early_access_code} to unlock early access.</t>
        </is>
      </c>
      <c r="C59" s="10">
        <f>SUBSTITUTE(B59,"{early_access_code}",Inputs!$B$25)</f>
        <v/>
      </c>
    </row>
    <row r="60" ht="16" customHeight="1">
      <c r="A60" s="4" t="inlineStr">
        <is>
          <t>email · insiders · link line, timed</t>
        </is>
      </c>
      <c r="B60" s="8" t="inlineStr">
        <is>
          <t>Discover the artwork and place your order via the private link below.</t>
        </is>
      </c>
      <c r="C60" s="10">
        <f>B60</f>
        <v/>
      </c>
    </row>
    <row r="61" ht="64" customHeight="1">
      <c r="A61" s="4" t="inlineStr">
        <is>
          <t>email · insiders · sign-off</t>
        </is>
      </c>
      <c r="B61" s="8" t="inlineStr">
        <is>
          <t>Best regards,
{advisor}
Art Advisor at Avant Arte</t>
        </is>
      </c>
      <c r="C61" s="10">
        <f>SUBSTITUTE(B61,"{advisor}",Inputs!$B$24)</f>
        <v/>
      </c>
    </row>
    <row r="62">
      <c r="A62" s="3" t="inlineStr">
        <is>
          <t>EMAILS · the window (TL)</t>
        </is>
      </c>
    </row>
    <row r="63" ht="32" customHeight="1">
      <c r="A63" s="4" t="inlineStr">
        <is>
          <t>email · live · opener</t>
        </is>
      </c>
      <c r="B63" s="8" t="inlineStr">
        <is>
          <t>Our {ordinal} collaboration with {collab_with} is now available to collect for {window} only – {work_intro}{support}.</t>
        </is>
      </c>
      <c r="C63" s="10">
        <f>SUBSTITUTE(SUBSTITUTE(SUBSTITUTE(SUBSTITUTE(SUBSTITUTE(B63,"{collab_with}",Inputs!$B$5),"{work_intro}",Inputs!$B$53),"{support}",Inputs!$B$54),"{ordinal}",Inputs!$B$10),"{window}",Inputs!$B$19)</f>
        <v/>
      </c>
    </row>
    <row r="64" ht="48" customHeight="1">
      <c r="A64" s="4" t="inlineStr">
        <is>
          <t>email · live · closing line</t>
        </is>
      </c>
      <c r="B64" s="8" t="inlineStr">
        <is>
          <t>The opportunity to collect an edition ends at {close_time} on {close_weekday}, {close_date_dd}. Click the link below to add {add_what} to your collection.</t>
        </is>
      </c>
      <c r="C64" s="10">
        <f>SUBSTITUTE(SUBSTITUTE(SUBSTITUTE(SUBSTITUTE(B64,"{close_time}",Inputs!$B$68),"{close_weekday}",Inputs!$B$69),"{close_date_dd}",Inputs!$B$70),"{add_what}",Inputs!$B$78)</f>
        <v/>
      </c>
    </row>
    <row r="65" ht="16" customHeight="1">
      <c r="A65" s="4" t="inlineStr">
        <is>
          <t>email · halfway · headline</t>
        </is>
      </c>
      <c r="B65" s="8" t="inlineStr">
        <is>
          <t>24 hours down, 24 to go</t>
        </is>
      </c>
      <c r="C65" s="10">
        <f>B65</f>
        <v/>
      </c>
    </row>
    <row r="66" ht="16" customHeight="1">
      <c r="A66" s="4" t="inlineStr">
        <is>
          <t>email · halfway · footer</t>
        </is>
      </c>
      <c r="B66" s="8" t="inlineStr">
        <is>
          <t>There's still time to add {a_unit} to your collection.</t>
        </is>
      </c>
      <c r="C66" s="10">
        <f>SUBSTITUTE(B66,"{a_unit}",Inputs!$B$48)</f>
        <v/>
      </c>
    </row>
    <row r="67" ht="16" customHeight="1">
      <c r="A67" s="4" t="inlineStr">
        <is>
          <t>email · 5 days · headline</t>
        </is>
      </c>
      <c r="B67" s="8" t="inlineStr">
        <is>
          <t>2 days down, 5 days to go</t>
        </is>
      </c>
      <c r="C67" s="10">
        <f>B67</f>
        <v/>
      </c>
    </row>
    <row r="68" ht="16" customHeight="1">
      <c r="A68" s="4" t="inlineStr">
        <is>
          <t>email · 3 days · headline</t>
        </is>
      </c>
      <c r="B68" s="8" t="inlineStr">
        <is>
          <t>Three days left to collect</t>
        </is>
      </c>
      <c r="C68" s="10">
        <f>B68</f>
        <v/>
      </c>
    </row>
    <row r="69" ht="32" customHeight="1">
      <c r="A69" s="4" t="inlineStr">
        <is>
          <t>email · 3 days · 1</t>
        </is>
      </c>
      <c r="B69" s="8" t="inlineStr">
        <is>
          <t>There are just three days left to collect {collect_phrase} by {artist}.</t>
        </is>
      </c>
      <c r="C69" s="10">
        <f>SUBSTITUTE(SUBSTITUTE(B69,"{artist}",Inputs!$B$4),"{collect_phrase}",Inputs!$B$71)</f>
        <v/>
      </c>
    </row>
    <row r="70" ht="32" customHeight="1">
      <c r="A70" s="4" t="inlineStr">
        <is>
          <t>email · 3 days · 2</t>
        </is>
      </c>
      <c r="B70" s="8" t="inlineStr">
        <is>
          <t>Click the link to collect before {close_time} on {close_weekday}, {close_date_dd}.</t>
        </is>
      </c>
      <c r="C70" s="10">
        <f>SUBSTITUTE(SUBSTITUTE(SUBSTITUTE(B70,"{close_time}",Inputs!$B$68),"{close_weekday}",Inputs!$B$69),"{close_date_dd}",Inputs!$B$70)</f>
        <v/>
      </c>
    </row>
    <row r="71" ht="16" customHeight="1">
      <c r="A71" s="4" t="inlineStr">
        <is>
          <t>email · days to go · footer</t>
        </is>
      </c>
      <c r="B71" s="8" t="inlineStr">
        <is>
          <t>Add {a_unit} to your collection</t>
        </is>
      </c>
      <c r="C71" s="10">
        <f>SUBSTITUTE(B71,"{a_unit}",Inputs!$B$48)</f>
        <v/>
      </c>
    </row>
    <row r="72">
      <c r="A72" s="3" t="inlineStr">
        <is>
          <t>EMAILS · last chance</t>
        </is>
      </c>
    </row>
    <row r="73" ht="48" customHeight="1">
      <c r="A73" s="4" t="inlineStr">
        <is>
          <t>email · last chance, timed · 1</t>
        </is>
      </c>
      <c r="B73" s="8" t="inlineStr">
        <is>
          <t>It's now or never for our {ordinal} collaboration with {collab_with} – {collect_phrase} will be available to order until {close_time} on {close_weekday}, {close_date_dd}.</t>
        </is>
      </c>
      <c r="C73" s="10">
        <f>SUBSTITUTE(SUBSTITUTE(SUBSTITUTE(SUBSTITUTE(SUBSTITUTE(SUBSTITUTE(B73,"{collab_with}",Inputs!$B$5),"{collect_phrase}",Inputs!$B$71),"{ordinal}",Inputs!$B$10),"{close_time}",Inputs!$B$68),"{close_weekday}",Inputs!$B$69),"{close_date_dd}",Inputs!$B$70)</f>
        <v/>
      </c>
    </row>
    <row r="74" ht="32" customHeight="1">
      <c r="A74" s="4" t="inlineStr">
        <is>
          <t>email · last chance, timed · 2</t>
        </is>
      </c>
      <c r="B74" s="8" t="inlineStr">
        <is>
          <t>After this time, the edition size{each_artwork} will be confirmed, and the {work_word} will no longer be available to purchase.</t>
        </is>
      </c>
      <c r="C74" s="10">
        <f>SUBSTITUTE(SUBSTITUTE(B74,"{each_artwork}",Inputs!$B$76),"{work_word}",Inputs!$B$77)</f>
        <v/>
      </c>
    </row>
    <row r="75" ht="32" customHeight="1">
      <c r="A75" s="4" t="inlineStr">
        <is>
          <t>email · last chance, draw · 1</t>
        </is>
      </c>
      <c r="B75" s="8" t="inlineStr">
        <is>
          <t>This is your final opportunity to enter the draw for {work_email}, {collect_phrase} by {artist}.</t>
        </is>
      </c>
      <c r="C75" s="10">
        <f>SUBSTITUTE(SUBSTITUTE(SUBSTITUTE(B75,"{artist}",Inputs!$B$4),"{work_email}",Inputs!$B$51),"{collect_phrase}",Inputs!$B$71)</f>
        <v/>
      </c>
    </row>
    <row r="76" ht="32" customHeight="1">
      <c r="A76" s="4" t="inlineStr">
        <is>
          <t>email · last chance, draw · 2</t>
        </is>
      </c>
      <c r="B76" s="8" t="inlineStr">
        <is>
          <t>For a chance to collect, click the link below to enter the draw. The draw closes at {close_time} on {close_weekday}, {close_date_dd}.</t>
        </is>
      </c>
      <c r="C76" s="10">
        <f>SUBSTITUTE(SUBSTITUTE(SUBSTITUTE(B76,"{close_time}",Inputs!$B$68),"{close_weekday}",Inputs!$B$69),"{close_date_dd}",Inputs!$B$70)</f>
        <v/>
      </c>
    </row>
    <row r="77">
      <c r="A77" s="3" t="inlineStr">
        <is>
          <t>EMAILS · surveys (LE)</t>
        </is>
      </c>
    </row>
    <row r="78" ht="16" customHeight="1">
      <c r="A78" s="4" t="inlineStr">
        <is>
          <t>email · first-time survey · subject</t>
        </is>
      </c>
      <c r="B78" s="8" t="inlineStr">
        <is>
          <t>Congratulations on your first Avant Arte edition</t>
        </is>
      </c>
      <c r="C78" s="10">
        <f>B78</f>
        <v/>
      </c>
    </row>
    <row r="79" ht="32" customHeight="1">
      <c r="A79" s="4" t="inlineStr">
        <is>
          <t>email · first-time survey · 1</t>
        </is>
      </c>
      <c r="B79" s="8" t="inlineStr">
        <is>
          <t>Thank you for adding our collaboration with {collab_with} to your collection. Great choice!</t>
        </is>
      </c>
      <c r="C79" s="10">
        <f>SUBSTITUTE(B79,"{collab_with}",Inputs!$B$5)</f>
        <v/>
      </c>
    </row>
    <row r="80" ht="48" customHeight="1">
      <c r="A80" s="4" t="inlineStr">
        <is>
          <t>email · first-time survey · 2</t>
        </is>
      </c>
      <c r="B80" s="8" t="inlineStr">
        <is>
          <t>I'm {advisor}, an art advisor at Avant Arte. I'm here to connect collectors with artists by making suggestions, answering questions and offering early access to our collaborations.</t>
        </is>
      </c>
      <c r="C80" s="10">
        <f>SUBSTITUTE(B80,"{advisor}",Inputs!$B$24)</f>
        <v/>
      </c>
    </row>
    <row r="81" ht="32" customHeight="1">
      <c r="A81" s="4" t="inlineStr">
        <is>
          <t>email · first-time survey · 3</t>
        </is>
      </c>
      <c r="B81" s="8" t="inlineStr">
        <is>
          <t>If you have two minutes to complete a short survey about your collecting journey to date, your responses will help guide my recommendations.</t>
        </is>
      </c>
      <c r="C81" s="10">
        <f>B81</f>
        <v/>
      </c>
    </row>
    <row r="82" ht="16" customHeight="1">
      <c r="A82" s="4" t="inlineStr">
        <is>
          <t>email · first-time survey · 4</t>
        </is>
      </c>
      <c r="B82" s="8" t="inlineStr">
        <is>
          <t>Any questions? Reply to this email.</t>
        </is>
      </c>
      <c r="C82" s="10">
        <f>B82</f>
        <v/>
      </c>
    </row>
    <row r="83" ht="48" customHeight="1">
      <c r="A83" s="4" t="inlineStr">
        <is>
          <t>email · non-purchaser survey · 1</t>
        </is>
      </c>
      <c r="B83" s="8" t="inlineStr">
        <is>
          <t>As someone who registered for updates but ultimately decided not to enter the draw for our collaboration with {collab_with}, we'd love your feedback.</t>
        </is>
      </c>
      <c r="C83" s="10">
        <f>SUBSTITUTE(B83,"{collab_with}",Inputs!$B$5)</f>
        <v/>
      </c>
    </row>
    <row r="84" ht="32" customHeight="1">
      <c r="A84" s="4" t="inlineStr">
        <is>
          <t>email · non-purchaser survey · 2</t>
        </is>
      </c>
      <c r="B84" s="8" t="inlineStr">
        <is>
          <t>This two-minute survey will guide our future collaborations and help us recommend the right artists and editions for your collection.</t>
        </is>
      </c>
      <c r="C84" s="10">
        <f>B84</f>
        <v/>
      </c>
    </row>
    <row r="85" ht="48" customHeight="1">
      <c r="A85" s="4" t="inlineStr">
        <is>
          <t>email · non-purchaser survey · 3</t>
        </is>
      </c>
      <c r="B85" s="8" t="inlineStr">
        <is>
          <t>As a thank you for taking part in the survey and helping us improve the collector experience, you'll be entered into a draw to win a €500 Avant Arte gift card.</t>
        </is>
      </c>
      <c r="C85" s="10">
        <f>B85</f>
        <v/>
      </c>
    </row>
    <row r="86" ht="16" customHeight="1">
      <c r="A86" s="4" t="inlineStr">
        <is>
          <t>email · non-purchaser survey · terms</t>
        </is>
      </c>
      <c r="B86" s="8" t="inlineStr">
        <is>
          <t>You can read the terms here.</t>
        </is>
      </c>
      <c r="C86" s="10">
        <f>B86</f>
        <v/>
      </c>
    </row>
    <row r="87" ht="16" customHeight="1">
      <c r="A87" s="4" t="inlineStr">
        <is>
          <t>email · non-purchaser survey · footer</t>
        </is>
      </c>
      <c r="B87" s="8" t="inlineStr">
        <is>
          <t>What can we do better?</t>
        </is>
      </c>
      <c r="C87" s="10">
        <f>B87</f>
        <v/>
      </c>
    </row>
    <row r="88">
      <c r="A88" s="3" t="inlineStr">
        <is>
          <t>EMAILS · monthly preview</t>
        </is>
      </c>
    </row>
    <row r="89" ht="16" customHeight="1">
      <c r="A89" s="4" t="inlineStr">
        <is>
          <t>email · monthly preview · opener</t>
        </is>
      </c>
      <c r="B89" s="8" t="inlineStr">
        <is>
          <t>From {collab_with} comes {work_intro}{support}.</t>
        </is>
      </c>
      <c r="C89" s="10">
        <f>SUBSTITUTE(SUBSTITUTE(SUBSTITUTE(B89,"{collab_with}",Inputs!$B$5),"{work_intro}",Inputs!$B$53),"{support}",Inputs!$B$54)</f>
        <v/>
      </c>
    </row>
    <row r="90" ht="32" customHeight="1">
      <c r="A90" s="4" t="inlineStr">
        <is>
          <t>email · monthly preview · when, draw</t>
        </is>
      </c>
      <c r="B90" s="8" t="inlineStr">
        <is>
          <t>The edition will be allocated by a randomised draw, which closes at {close_time} on {close_date}.</t>
        </is>
      </c>
      <c r="C90" s="10">
        <f>SUBSTITUTE(SUBSTITUTE(B90,"{close_date}",Inputs!$B$67),"{close_time}",Inputs!$B$68)</f>
        <v/>
      </c>
    </row>
    <row r="91" ht="32" customHeight="1">
      <c r="A91" s="4" t="inlineStr">
        <is>
          <t>email · monthly preview · when, timed</t>
        </is>
      </c>
      <c r="B91" s="8" t="inlineStr">
        <is>
          <t>The edition will be available to collect for {window} only, from {launch_time} on {launch_weekday}, {launch_date_dd}.</t>
        </is>
      </c>
      <c r="C91" s="10">
        <f>SUBSTITUTE(SUBSTITUTE(SUBSTITUTE(SUBSTITUTE(B91,"{window}",Inputs!$B$19),"{launch_time}",Inputs!$B$64),"{launch_weekday}",Inputs!$B$65),"{launch_date_dd}",Inputs!$B$66)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18" customWidth="1" min="3" max="3"/>
    <col width="34" customWidth="1" min="4" max="4"/>
    <col width="44" customWidth="1" min="5" max="5"/>
    <col width="56" customWidth="1" min="6" max="6"/>
    <col width="44" customWidth="1" min="7" max="7"/>
    <col width="44" customWidth="1" min="8" max="8"/>
    <col width="14" customWidth="1" min="9" max="9"/>
    <col width="92" customWidth="1" min="10" max="10"/>
    <col width="11" customWidth="1" min="11" max="11"/>
  </cols>
  <sheetData>
    <row r="1">
      <c r="A1" s="1" t="inlineStr">
        <is>
          <t>The posts, assembled</t>
        </is>
      </c>
    </row>
    <row r="2">
      <c r="A2" s="2" t="inlineStr">
        <is>
          <t>Every cell below is a formula over Inputs and Lines. Skeleton: status line · substance · features line · action line · hashtag. Coming Soon opens with the bio. The Insiders account posts the same caption; Channels says which.</t>
        </is>
      </c>
    </row>
    <row r="3">
      <c r="A3" s="3" t="inlineStr">
        <is>
          <t>#</t>
        </is>
      </c>
      <c r="B3" s="3" t="inlineStr">
        <is>
          <t>Post</t>
        </is>
      </c>
      <c r="C3" s="3" t="inlineStr">
        <is>
          <t>Channels</t>
        </is>
      </c>
      <c r="D3" s="3" t="inlineStr">
        <is>
          <t>Made of</t>
        </is>
      </c>
      <c r="E3" s="3" t="inlineStr">
        <is>
          <t>Status line</t>
        </is>
      </c>
      <c r="F3" s="3" t="inlineStr">
        <is>
          <t>Substance</t>
        </is>
      </c>
      <c r="G3" s="3" t="inlineStr">
        <is>
          <t>Features line</t>
        </is>
      </c>
      <c r="H3" s="3" t="inlineStr">
        <is>
          <t>Action line</t>
        </is>
      </c>
      <c r="I3" s="3" t="inlineStr">
        <is>
          <t>Hashtag</t>
        </is>
      </c>
      <c r="J3" s="3" t="inlineStr">
        <is>
          <t>Caption</t>
        </is>
      </c>
      <c r="K3" s="3" t="inlineStr">
        <is>
          <t>Characters</t>
        </is>
      </c>
    </row>
    <row r="4" ht="190" customHeight="1">
      <c r="A4" s="11" t="n">
        <v>1</v>
      </c>
      <c r="B4" s="11" t="inlineStr">
        <is>
          <t>coming soon</t>
        </is>
      </c>
      <c r="C4" s="11" t="inlineStr">
        <is>
          <t>Main</t>
        </is>
      </c>
      <c r="D4" s="11" t="inlineStr">
        <is>
          <t>bio · status · action</t>
        </is>
      </c>
      <c r="E4" s="11">
        <f>Lines!$C$5</f>
        <v/>
      </c>
      <c r="F4" s="11">
        <f>Inputs!$B$56</f>
        <v/>
      </c>
      <c r="G4" s="11">
        <f>""</f>
        <v/>
      </c>
      <c r="H4" s="11">
        <f>Lines!$C$21</f>
        <v/>
      </c>
      <c r="I4" s="11">
        <f>""</f>
        <v/>
      </c>
      <c r="J4" s="11">
        <f>F4&amp;IF(E4="","",CHAR(10)&amp;CHAR(10)&amp;E4)&amp;IF(H4="","",CHAR(10)&amp;CHAR(10)&amp;H4)</f>
        <v/>
      </c>
      <c r="K4" s="11">
        <f>LEN(J4)</f>
        <v/>
      </c>
    </row>
    <row r="5" ht="190" customHeight="1">
      <c r="A5" s="11" t="n">
        <v>2</v>
      </c>
      <c r="B5" s="11" t="inlineStr">
        <is>
          <t>announce</t>
        </is>
      </c>
      <c r="C5" s="11" t="inlineStr">
        <is>
          <t>Main + Insiders</t>
        </is>
      </c>
      <c r="D5" s="11" t="inlineStr">
        <is>
          <t>status · hook · features + beneficiary · action · hashtag</t>
        </is>
      </c>
      <c r="E5" s="11">
        <f>IF(Inputs!$B$14="yes",Lines!$C$7,Lines!$C$6)</f>
        <v/>
      </c>
      <c r="F5" s="11">
        <f>Inputs!$B$36</f>
        <v/>
      </c>
      <c r="G5" s="11">
        <f>Lines!$C$15&amp;IF(Inputs!$B$57,"",IF(Inputs!$B$55="",""," "&amp;Lines!$C$16))</f>
        <v/>
      </c>
      <c r="H5" s="11">
        <f>IF(Inputs!$B$18="draw",Lines!$C$18,Lines!$C$17)</f>
        <v/>
      </c>
      <c r="I5" s="11">
        <f>IF(Inputs!$B$9="","",Lines!$C$22)</f>
        <v/>
      </c>
      <c r="J5" s="11">
        <f>E5&amp;IF(F5="","",CHAR(10)&amp;CHAR(10)&amp;F5)&amp;IF(G5="","",CHAR(10)&amp;CHAR(10)&amp;G5)&amp;IF(H5="","",CHAR(10)&amp;CHAR(10)&amp;H5)&amp;IF(I5="","",CHAR(10)&amp;CHAR(10)&amp;I5)</f>
        <v/>
      </c>
      <c r="K5" s="11">
        <f>LEN(J5)</f>
        <v/>
      </c>
    </row>
    <row r="6" ht="120" customHeight="1">
      <c r="A6" s="11" t="n">
        <v>3</v>
      </c>
      <c r="B6" s="11" t="inlineStr">
        <is>
          <t>sustain</t>
        </is>
      </c>
      <c r="C6" s="11" t="inlineStr">
        <is>
          <t>Main</t>
        </is>
      </c>
      <c r="D6" s="11" t="inlineStr">
        <is>
          <t>status · making · features + beneficiary · action</t>
        </is>
      </c>
      <c r="E6" s="11">
        <f>Lines!$C$8</f>
        <v/>
      </c>
      <c r="F6" s="11">
        <f>Inputs!$B$62</f>
        <v/>
      </c>
      <c r="G6" s="11">
        <f>Lines!$C$15&amp;IF(Inputs!$B$55="",""," "&amp;Lines!$C$16)</f>
        <v/>
      </c>
      <c r="H6" s="11">
        <f>IF(Inputs!$B$18="draw",Lines!$C$18,Lines!$C$17)</f>
        <v/>
      </c>
      <c r="I6" s="11">
        <f>""</f>
        <v/>
      </c>
      <c r="J6" s="11">
        <f>E6&amp;IF(F6="","",CHAR(10)&amp;CHAR(10)&amp;F6)&amp;IF(G6="","",CHAR(10)&amp;CHAR(10)&amp;G6)&amp;IF(H6="","",CHAR(10)&amp;CHAR(10)&amp;H6)</f>
        <v/>
      </c>
      <c r="K6" s="11">
        <f>LEN(J6)</f>
        <v/>
      </c>
    </row>
    <row r="7" ht="120" customHeight="1">
      <c r="A7" s="11" t="n">
        <v>4</v>
      </c>
      <c r="B7" s="11" t="inlineStr">
        <is>
          <t>sustain, the artist's words</t>
        </is>
      </c>
      <c r="C7" s="11" t="inlineStr">
        <is>
          <t>Main</t>
        </is>
      </c>
      <c r="D7" s="11" t="inlineStr">
        <is>
          <t>quote · status · features + beneficiary · action</t>
        </is>
      </c>
      <c r="E7" s="11">
        <f>IF(Inputs!$B$42="","(no quote given, post skipped)",Lines!$C$9)</f>
        <v/>
      </c>
      <c r="F7" s="11">
        <f>IF(Inputs!$B$42="","",Lines!$C$10)</f>
        <v/>
      </c>
      <c r="G7" s="11">
        <f>IF(Inputs!$B$42="","",Lines!$C$15&amp;IF(Inputs!$B$55="",""," "&amp;Lines!$C$16))</f>
        <v/>
      </c>
      <c r="H7" s="11">
        <f>IF(Inputs!$B$42="","",IF(Inputs!$B$18="draw",Lines!$C$18,Lines!$C$17))</f>
        <v/>
      </c>
      <c r="I7" s="11">
        <f>""</f>
        <v/>
      </c>
      <c r="J7" s="11">
        <f>IF(Inputs!$B$42="","(no quote given, post skipped)",E7&amp;IF(F7="","",CHAR(10)&amp;CHAR(10)&amp;F7)&amp;IF(G7="","",CHAR(10)&amp;CHAR(10)&amp;G7)&amp;IF(H7="","",CHAR(10)&amp;CHAR(10)&amp;H7))</f>
        <v/>
      </c>
      <c r="K7" s="11">
        <f>LEN(J7)</f>
        <v/>
      </c>
    </row>
    <row r="8" ht="120" customHeight="1">
      <c r="A8" s="11" t="n">
        <v>5</v>
      </c>
      <c r="B8" s="11" t="inlineStr">
        <is>
          <t>live (timed only)</t>
        </is>
      </c>
      <c r="C8" s="11" t="inlineStr">
        <is>
          <t>Main + Insiders</t>
        </is>
      </c>
      <c r="D8" s="11" t="inlineStr">
        <is>
          <t>status · features + beneficiary · action</t>
        </is>
      </c>
      <c r="E8" s="11">
        <f>IF(Inputs!$B$18="draw","(not used for a draw)",Lines!$C$11)</f>
        <v/>
      </c>
      <c r="F8" s="11">
        <f>""</f>
        <v/>
      </c>
      <c r="G8" s="11">
        <f>IF(Inputs!$B$18="draw","",Lines!$C$15&amp;IF(Inputs!$B$55="",""," "&amp;Lines!$C$16))</f>
        <v/>
      </c>
      <c r="H8" s="11">
        <f>IF(Inputs!$B$18="draw","",IF(Inputs!$B$18="draw",Lines!$C$20,Lines!$C$19))</f>
        <v/>
      </c>
      <c r="I8" s="11">
        <f>""</f>
        <v/>
      </c>
      <c r="J8" s="11">
        <f>IF(Inputs!$B$18="draw","(not used for a draw)",E8&amp;IF(G8="","",CHAR(10)&amp;CHAR(10)&amp;G8)&amp;IF(H8="","",CHAR(10)&amp;CHAR(10)&amp;H8))</f>
        <v/>
      </c>
      <c r="K8" s="11">
        <f>LEN(J8)</f>
        <v/>
      </c>
    </row>
    <row r="9" ht="120" customHeight="1">
      <c r="A9" s="11" t="n">
        <v>6</v>
      </c>
      <c r="B9" s="11" t="inlineStr">
        <is>
          <t>still time (timed only)</t>
        </is>
      </c>
      <c r="C9" s="11" t="inlineStr">
        <is>
          <t>Main + Insiders (the plan's Halfway through)</t>
        </is>
      </c>
      <c r="D9" s="11" t="inlineStr">
        <is>
          <t>status · features + beneficiary · action</t>
        </is>
      </c>
      <c r="E9" s="11">
        <f>IF(Inputs!$B$18="draw","(not used for a draw)",Lines!$C$12)</f>
        <v/>
      </c>
      <c r="F9" s="11">
        <f>""</f>
        <v/>
      </c>
      <c r="G9" s="11">
        <f>IF(Inputs!$B$18="draw","",Lines!$C$15&amp;IF(Inputs!$B$55="",""," "&amp;Lines!$C$16))</f>
        <v/>
      </c>
      <c r="H9" s="11">
        <f>IF(Inputs!$B$18="draw","",IF(Inputs!$B$18="draw",Lines!$C$20,Lines!$C$19))</f>
        <v/>
      </c>
      <c r="I9" s="11">
        <f>""</f>
        <v/>
      </c>
      <c r="J9" s="11">
        <f>IF(Inputs!$B$18="draw","(not used for a draw)",E9&amp;IF(G9="","",CHAR(10)&amp;CHAR(10)&amp;G9)&amp;IF(H9="","",CHAR(10)&amp;CHAR(10)&amp;H9))</f>
        <v/>
      </c>
      <c r="K9" s="11">
        <f>LEN(J9)</f>
        <v/>
      </c>
    </row>
    <row r="10" ht="120" customHeight="1">
      <c r="A10" s="11" t="n">
        <v>7</v>
      </c>
      <c r="B10" s="11" t="inlineStr">
        <is>
          <t>last chance</t>
        </is>
      </c>
      <c r="C10" s="11" t="inlineStr">
        <is>
          <t>Main</t>
        </is>
      </c>
      <c r="D10" s="11" t="inlineStr">
        <is>
          <t>status · features + beneficiary · action</t>
        </is>
      </c>
      <c r="E10" s="11">
        <f>IF(Inputs!$B$18="draw",Lines!$C$14,Lines!$C$13)</f>
        <v/>
      </c>
      <c r="F10" s="11">
        <f>""</f>
        <v/>
      </c>
      <c r="G10" s="11">
        <f>Lines!$C$15&amp;IF(Inputs!$B$55="",""," "&amp;Lines!$C$16)</f>
        <v/>
      </c>
      <c r="H10" s="11">
        <f>IF(Inputs!$B$18="draw",Lines!$C$20,Lines!$C$19)</f>
        <v/>
      </c>
      <c r="I10" s="11">
        <f>""</f>
        <v/>
      </c>
      <c r="J10" s="11">
        <f>E10&amp;IF(G10="","",CHAR(10)&amp;CHAR(10)&amp;G10)&amp;IF(H10="","",CHAR(10)&amp;CHAR(10)&amp;H10)</f>
        <v/>
      </c>
      <c r="K10" s="11">
        <f>LEN(J10)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30" customWidth="1" min="3" max="3"/>
    <col width="50" customWidth="1" min="4" max="4"/>
    <col width="56" customWidth="1" min="5" max="5"/>
    <col width="36" customWidth="1" min="6" max="6"/>
    <col width="50" customWidth="1" min="7" max="7"/>
    <col width="80" customWidth="1" min="8" max="8"/>
    <col width="11" customWidth="1" min="9" max="9"/>
  </cols>
  <sheetData>
    <row r="1">
      <c r="A1" s="1" t="inlineStr">
        <is>
          <t>The tweets, assembled</t>
        </is>
      </c>
    </row>
    <row r="2">
      <c r="A2" s="2" t="inlineStr">
        <is>
          <t>The post's status line with the X handle, the hook on the announcement only, the beneficiary named once, and an action line that ends with the link. No features line, no hashtag, no bio.</t>
        </is>
      </c>
    </row>
    <row r="3">
      <c r="A3" s="3" t="inlineStr">
        <is>
          <t>#</t>
        </is>
      </c>
      <c r="B3" s="3" t="inlineStr">
        <is>
          <t>Tweet</t>
        </is>
      </c>
      <c r="C3" s="3" t="inlineStr">
        <is>
          <t>Made of</t>
        </is>
      </c>
      <c r="D3" s="3" t="inlineStr">
        <is>
          <t>Status line</t>
        </is>
      </c>
      <c r="E3" s="3" t="inlineStr">
        <is>
          <t>Substance</t>
        </is>
      </c>
      <c r="F3" s="3" t="inlineStr">
        <is>
          <t>Beneficiary line</t>
        </is>
      </c>
      <c r="G3" s="3" t="inlineStr">
        <is>
          <t>Action line</t>
        </is>
      </c>
      <c r="H3" s="3" t="inlineStr">
        <is>
          <t>Tweet</t>
        </is>
      </c>
      <c r="I3" s="3" t="inlineStr">
        <is>
          <t>Characters</t>
        </is>
      </c>
    </row>
    <row r="4" ht="80" customHeight="1">
      <c r="A4" s="11" t="n">
        <v>1</v>
      </c>
      <c r="B4" s="11" t="inlineStr">
        <is>
          <t>coming soon</t>
        </is>
      </c>
      <c r="C4" s="11" t="inlineStr">
        <is>
          <t>status · action</t>
        </is>
      </c>
      <c r="D4" s="11">
        <f>Lines!$C$24</f>
        <v/>
      </c>
      <c r="E4" s="11">
        <f>""</f>
        <v/>
      </c>
      <c r="F4" s="11">
        <f>""</f>
        <v/>
      </c>
      <c r="G4" s="11">
        <f>Lines!$C$25</f>
        <v/>
      </c>
      <c r="H4" s="11">
        <f>D4&amp;IF(G4="","",CHAR(10)&amp;CHAR(10)&amp;G4)</f>
        <v/>
      </c>
      <c r="I4" s="11">
        <f>LEN(H4)</f>
        <v/>
      </c>
    </row>
    <row r="5" ht="150" customHeight="1">
      <c r="A5" s="11" t="n">
        <v>2</v>
      </c>
      <c r="B5" s="11" t="inlineStr">
        <is>
          <t>announce</t>
        </is>
      </c>
      <c r="C5" s="11" t="inlineStr">
        <is>
          <t>status · hook · beneficiary · action</t>
        </is>
      </c>
      <c r="D5" s="11">
        <f>SUBSTITUTE(IF(Inputs!$B$14="yes",Lines!$C$7,Lines!$C$6),Inputs!$B$45,Inputs!$B$46)</f>
        <v/>
      </c>
      <c r="E5" s="11">
        <f>Inputs!$B$36</f>
        <v/>
      </c>
      <c r="F5" s="11">
        <f>IF(OR(Inputs!$B$22="",Inputs!$B$57),"",Lines!$C$26)</f>
        <v/>
      </c>
      <c r="G5" s="11">
        <f>IF(Inputs!$B$18="draw",Lines!$C$28,Lines!$C$27)</f>
        <v/>
      </c>
      <c r="H5" s="11">
        <f>D5&amp;IF(E5="","",CHAR(10)&amp;CHAR(10)&amp;E5)&amp;IF(F5="","",CHAR(10)&amp;CHAR(10)&amp;F5)&amp;IF(G5="","",CHAR(10)&amp;CHAR(10)&amp;G5)</f>
        <v/>
      </c>
      <c r="I5" s="11">
        <f>LEN(H5)</f>
        <v/>
      </c>
    </row>
    <row r="6" ht="80" customHeight="1">
      <c r="A6" s="11" t="n">
        <v>3</v>
      </c>
      <c r="B6" s="11" t="inlineStr">
        <is>
          <t>live (timed only)</t>
        </is>
      </c>
      <c r="C6" s="11" t="inlineStr">
        <is>
          <t>status · action</t>
        </is>
      </c>
      <c r="D6" s="11">
        <f>IF(Inputs!$B$18="draw","(not used for a draw)",SUBSTITUTE(Lines!$C$11,Inputs!$B$45,Inputs!$B$46))</f>
        <v/>
      </c>
      <c r="E6" s="11">
        <f>""</f>
        <v/>
      </c>
      <c r="F6" s="11">
        <f>""</f>
        <v/>
      </c>
      <c r="G6" s="11">
        <f>IF(Inputs!$B$18="draw","",IF(Inputs!$B$18="draw",Lines!$C$28,Lines!$C$29))</f>
        <v/>
      </c>
      <c r="H6" s="11">
        <f>IF(Inputs!$B$18="draw","(not used for a draw)",D6&amp;IF(G6="","",CHAR(10)&amp;CHAR(10)&amp;G6))</f>
        <v/>
      </c>
      <c r="I6" s="11">
        <f>LEN(H6)</f>
        <v/>
      </c>
    </row>
    <row r="7" ht="80" customHeight="1">
      <c r="A7" s="11" t="n">
        <v>4</v>
      </c>
      <c r="B7" s="11" t="inlineStr">
        <is>
          <t>still time (timed only)</t>
        </is>
      </c>
      <c r="C7" s="11" t="inlineStr">
        <is>
          <t>status · action</t>
        </is>
      </c>
      <c r="D7" s="11">
        <f>IF(Inputs!$B$18="draw","(not used for a draw)",SUBSTITUTE(Lines!$C$12,Inputs!$B$45,Inputs!$B$46))</f>
        <v/>
      </c>
      <c r="E7" s="11">
        <f>""</f>
        <v/>
      </c>
      <c r="F7" s="11">
        <f>""</f>
        <v/>
      </c>
      <c r="G7" s="11">
        <f>IF(Inputs!$B$18="draw","",IF(Inputs!$B$18="draw",Lines!$C$28,Lines!$C$29))</f>
        <v/>
      </c>
      <c r="H7" s="11">
        <f>IF(Inputs!$B$18="draw","(not used for a draw)",D7&amp;IF(G7="","",CHAR(10)&amp;CHAR(10)&amp;G7))</f>
        <v/>
      </c>
      <c r="I7" s="11">
        <f>LEN(H7)</f>
        <v/>
      </c>
    </row>
    <row r="8" ht="80" customHeight="1">
      <c r="A8" s="11" t="n">
        <v>5</v>
      </c>
      <c r="B8" s="11" t="inlineStr">
        <is>
          <t>last chance</t>
        </is>
      </c>
      <c r="C8" s="11" t="inlineStr">
        <is>
          <t>status · action</t>
        </is>
      </c>
      <c r="D8" s="11">
        <f>IF(Inputs!$B$18="draw",SUBSTITUTE(Lines!$C$14,Inputs!$B$45,Inputs!$B$46),SUBSTITUTE(Lines!$C$13,Inputs!$B$45,Inputs!$B$46))</f>
        <v/>
      </c>
      <c r="E8" s="11">
        <f>""</f>
        <v/>
      </c>
      <c r="F8" s="11">
        <f>""</f>
        <v/>
      </c>
      <c r="G8" s="11">
        <f>IF(Inputs!$B$18="draw",Lines!$C$28,Lines!$C$29)</f>
        <v/>
      </c>
      <c r="H8" s="11">
        <f>D8&amp;IF(G8="","",CHAR(10)&amp;CHAR(10)&amp;G8)</f>
        <v/>
      </c>
      <c r="I8" s="11">
        <f>LEN(H8)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7"/>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16" customWidth="1" min="3" max="3"/>
    <col width="16" customWidth="1" min="4" max="4"/>
    <col width="34" customWidth="1" min="5" max="5"/>
    <col width="30" customWidth="1" min="6" max="6"/>
    <col width="22" customWidth="1" min="7" max="7"/>
    <col width="26" customWidth="1" min="8" max="8"/>
    <col width="90" customWidth="1" min="9" max="9"/>
    <col width="16" customWidth="1" min="10" max="10"/>
    <col width="30" customWidth="1" min="11" max="11"/>
    <col width="34" customWidth="1" min="12" max="12"/>
    <col width="26" customWidth="1" min="13" max="13"/>
    <col width="96" customWidth="1" min="14" max="14"/>
    <col width="11" customWidth="1" min="15" max="15"/>
  </cols>
  <sheetData>
    <row r="1">
      <c r="A1" s="1" t="inlineStr">
        <is>
          <t>The emails, assembled</t>
        </is>
      </c>
    </row>
    <row r="2">
      <c r="A2" s="2" t="inlineStr">
        <is>
          <t>Every cell below is a formula over Inputs and Lines. Body paragraphs are the fixed sentences with the same hook, making and quote dropped in. The 'Used?' column says when a row does not apply to this release.</t>
        </is>
      </c>
    </row>
    <row r="3">
      <c r="A3" s="3" t="inlineStr">
        <is>
          <t>#</t>
        </is>
      </c>
      <c r="B3" s="3" t="inlineStr">
        <is>
          <t>Email (comms plan name)</t>
        </is>
      </c>
      <c r="C3" s="3" t="inlineStr">
        <is>
          <t>For</t>
        </is>
      </c>
      <c r="D3" s="3" t="inlineStr">
        <is>
          <t>Used?</t>
        </is>
      </c>
      <c r="E3" s="3" t="inlineStr">
        <is>
          <t>Subject</t>
        </is>
      </c>
      <c r="F3" s="3" t="inlineStr">
        <is>
          <t>Preview</t>
        </is>
      </c>
      <c r="G3" s="3" t="inlineStr">
        <is>
          <t>Kicker</t>
        </is>
      </c>
      <c r="H3" s="3" t="inlineStr">
        <is>
          <t>Headline</t>
        </is>
      </c>
      <c r="I3" s="3" t="inlineStr">
        <is>
          <t>Body</t>
        </is>
      </c>
      <c r="J3" s="3" t="inlineStr">
        <is>
          <t>CTA</t>
        </is>
      </c>
      <c r="K3" s="3" t="inlineStr">
        <is>
          <t>Card</t>
        </is>
      </c>
      <c r="L3" s="3" t="inlineStr">
        <is>
          <t>Quote</t>
        </is>
      </c>
      <c r="M3" s="3" t="inlineStr">
        <is>
          <t>Footer</t>
        </is>
      </c>
      <c r="N3" s="3" t="inlineStr">
        <is>
          <t>Full email, ready to paste</t>
        </is>
      </c>
      <c r="O3" s="3" t="inlineStr">
        <is>
          <t>Characters</t>
        </is>
      </c>
    </row>
    <row r="4" ht="300" customHeight="1">
      <c r="A4" s="11" t="n">
        <v>1</v>
      </c>
      <c r="B4" s="11" t="inlineStr">
        <is>
          <t>Announcement (TL Non-flow) · Announcement (LE)</t>
        </is>
      </c>
      <c r="C4" s="11" t="inlineStr">
        <is>
          <t>both</t>
        </is>
      </c>
      <c r="D4" s="11">
        <f>"yes"</f>
        <v/>
      </c>
      <c r="E4" s="11">
        <f>IF($D4&lt;&gt;"yes","",Lines!$C$39)</f>
        <v/>
      </c>
      <c r="F4" s="11">
        <f>IF($D4&lt;&gt;"yes","",IF(Inputs!$B$18="draw","Enter the draw for a chance to collect. Closes "&amp;Inputs!$B$67&amp;".","Launching "&amp;Inputs!$B$63&amp;". Register for updates."))</f>
        <v/>
      </c>
      <c r="G4" s="11">
        <f>IF($D4&lt;&gt;"yes","",IF(Inputs!$B$18="draw","Enter the draw","Launching "&amp;Inputs!$B$63))</f>
        <v/>
      </c>
      <c r="H4" s="11">
        <f>IF($D4&lt;&gt;"yes","",IF(Inputs!$B$18="draw",Inputs!$B$52,Inputs!$B$52&amp;" by "&amp;Inputs!$B$4))</f>
        <v/>
      </c>
      <c r="I4" s="11">
        <f>IF($D4&lt;&gt;"yes","",(Lines!$C$40&amp;IF(Inputs!$B$36="","",CHAR(10)&amp;CHAR(10)&amp;Inputs!$B$36)&amp;IF(Inputs!$B$61="","",CHAR(10)&amp;CHAR(10)&amp;Inputs!$B$61)&amp;IF(Inputs!$B$59="","",CHAR(10)&amp;CHAR(10)&amp;Inputs!$B$59)&amp;IF(IF(Inputs!$B$18="draw",Lines!$C$33,(Lines!$C$41&amp;IF(Lines!$C$42="","",CHAR(10)&amp;CHAR(10)&amp;Lines!$C$42)))="","",CHAR(10)&amp;CHAR(10)&amp;IF(Inputs!$B$18="draw",Lines!$C$33,(Lines!$C$41&amp;IF(Lines!$C$42="","",CHAR(10)&amp;CHAR(10)&amp;Lines!$C$42))))))</f>
        <v/>
      </c>
      <c r="J4" s="11">
        <f>IF($D4&lt;&gt;"yes","",IF(Inputs!$B$18="draw","Enter the draw","Discover the collaboration"))</f>
        <v/>
      </c>
      <c r="K4" s="11">
        <f>IF($D4&lt;&gt;"yes","",Inputs!$B$74)</f>
        <v/>
      </c>
      <c r="L4" s="11">
        <f>IF($D4&lt;&gt;"yes","",Inputs!$B$75)</f>
        <v/>
      </c>
      <c r="M4" s="11">
        <f>IF($D4&lt;&gt;"yes","",IF(Inputs!$B$18="draw","Collect "&amp;Inputs!$B$71,"Launching "&amp;Inputs!$B$63))</f>
        <v/>
      </c>
      <c r="N4" s="11">
        <f>IF(D4&lt;&gt;"yes",D4,IF(E4="","","Subject: "&amp;E4)&amp;IF(F4="","",CHAR(10)&amp;"Preview: "&amp;F4)&amp;IF(G4="","",CHAR(10)&amp;"Kicker: "&amp;G4)&amp;IF(H4="","",CHAR(10)&amp;"Headline: "&amp;H4)&amp;IF(I4="","",IF(E4&amp;F4&amp;G4&amp;H4="","",CHAR(10)&amp;CHAR(10))&amp;I4)&amp;IF(J4="","",CHAR(10)&amp;CHAR(10)&amp;"CTA: "&amp;J4)&amp;IF(K4="","",CHAR(10)&amp;CHAR(10)&amp;"Card: "&amp;K4)&amp;IF(L4="","",CHAR(10)&amp;CHAR(10)&amp;"Quote: "&amp;L4)&amp;IF(M4="","",CHAR(10)&amp;CHAR(10)&amp;"Footer: "&amp;M4))</f>
        <v/>
      </c>
      <c r="O4" s="11">
        <f>LEN(N4)</f>
        <v/>
      </c>
    </row>
    <row r="5" ht="300" customHeight="1">
      <c r="A5" s="11" t="n">
        <v>2</v>
      </c>
      <c r="B5" s="11" t="inlineStr">
        <is>
          <t>Welcome (TL Flow)</t>
        </is>
      </c>
      <c r="C5" s="11" t="inlineStr">
        <is>
          <t>timed</t>
        </is>
      </c>
      <c r="D5" s="11">
        <f>IF(Inputs!$B$18="draw","(not used for a draw)","yes")</f>
        <v/>
      </c>
      <c r="E5" s="11">
        <f>IF($D5&lt;&gt;"yes","","Welcome to Avant Arte")</f>
        <v/>
      </c>
      <c r="F5" s="11">
        <f>IF($D5&lt;&gt;"yes","","Where the art world is more accessible.")</f>
        <v/>
      </c>
      <c r="G5" s="11">
        <f>""</f>
        <v/>
      </c>
      <c r="H5" s="11">
        <f>""</f>
        <v/>
      </c>
      <c r="I5" s="11">
        <f>IF($D5&lt;&gt;"yes","",(Lines!$C$44&amp;IF(Lines!$C$45="","",CHAR(10)&amp;CHAR(10)&amp;Lines!$C$45)&amp;IF(Lines!$C$46="","",CHAR(10)&amp;CHAR(10)&amp;Lines!$C$46)&amp;IF(Lines!$C$47="","",CHAR(10)&amp;CHAR(10)&amp;Lines!$C$47)))</f>
        <v/>
      </c>
      <c r="J5" s="11">
        <f>IF($D5&lt;&gt;"yes","","Complete collector profile")</f>
        <v/>
      </c>
      <c r="K5" s="11">
        <f>""</f>
        <v/>
      </c>
      <c r="L5" s="11">
        <f>""</f>
        <v/>
      </c>
      <c r="M5" s="11">
        <f>IF($D5&lt;&gt;"yes","","Where the art world is more accessible")</f>
        <v/>
      </c>
      <c r="N5" s="11">
        <f>IF(D5&lt;&gt;"yes",D5,IF(E5="","","Subject: "&amp;E5)&amp;IF(F5="","",CHAR(10)&amp;"Preview: "&amp;F5)&amp;IF(G5="","",CHAR(10)&amp;"Kicker: "&amp;G5)&amp;IF(H5="","",CHAR(10)&amp;"Headline: "&amp;H5)&amp;IF(I5="","",IF(E5&amp;F5&amp;G5&amp;H5="","",CHAR(10)&amp;CHAR(10))&amp;I5)&amp;IF(J5="","",CHAR(10)&amp;CHAR(10)&amp;"CTA: "&amp;J5)&amp;IF(K5="","",CHAR(10)&amp;CHAR(10)&amp;"Card: "&amp;K5)&amp;IF(L5="","",CHAR(10)&amp;CHAR(10)&amp;"Quote: "&amp;L5)&amp;IF(M5="","",CHAR(10)&amp;CHAR(10)&amp;"Footer: "&amp;M5))</f>
        <v/>
      </c>
      <c r="O5" s="11">
        <f>LEN(N5)</f>
        <v/>
      </c>
    </row>
    <row r="6" ht="300" customHeight="1">
      <c r="A6" s="11" t="n">
        <v>3</v>
      </c>
      <c r="B6" s="11" t="inlineStr">
        <is>
          <t>Early Access (TL Flow)</t>
        </is>
      </c>
      <c r="C6" s="11" t="inlineStr">
        <is>
          <t>timed</t>
        </is>
      </c>
      <c r="D6" s="11">
        <f>IF(Inputs!$B$18="draw","(not used for a draw)","yes")</f>
        <v/>
      </c>
      <c r="E6" s="11">
        <f>IF($D6&lt;&gt;"yes","",Inputs!$B$4&amp;" – Early access 🔓")</f>
        <v/>
      </c>
      <c r="F6" s="11">
        <f>IF($D6&lt;&gt;"yes","","Collect 24 hours before everyone else.")</f>
        <v/>
      </c>
      <c r="G6" s="11">
        <f>""</f>
        <v/>
      </c>
      <c r="H6" s="11">
        <f>""</f>
        <v/>
      </c>
      <c r="I6" s="11">
        <f>IF($D6&lt;&gt;"yes","",(Lines!$C$31&amp;IF(Lines!$C$49="","",CHAR(10)&amp;CHAR(10)&amp;Lines!$C$49)&amp;IF(Inputs!$B$36="","",CHAR(10)&amp;CHAR(10)&amp;Inputs!$B$36)&amp;IF(Inputs!$B$60="","",CHAR(10)&amp;CHAR(10)&amp;Inputs!$B$60)&amp;IF(Lines!$C$50="","",CHAR(10)&amp;CHAR(10)&amp;Lines!$C$50)&amp;IF(IF(Inputs!$B$26="","",Lines!$C$36)="","",CHAR(10)&amp;CHAR(10)&amp;IF(Inputs!$B$26="","",Lines!$C$36))&amp;IF(Lines!$C$52="","",CHAR(10)&amp;CHAR(10)&amp;Lines!$C$52)))</f>
        <v/>
      </c>
      <c r="J6" s="11">
        <f>IF($D6&lt;&gt;"yes","","Unlock early access")</f>
        <v/>
      </c>
      <c r="K6" s="11">
        <f>""</f>
        <v/>
      </c>
      <c r="L6" s="11">
        <f>""</f>
        <v/>
      </c>
      <c r="M6" s="11">
        <f>IF($D6&lt;&gt;"yes","","24 hours ahead of the public launch")</f>
        <v/>
      </c>
      <c r="N6" s="11">
        <f>IF(D6&lt;&gt;"yes",D6,IF(E6="","","Subject: "&amp;E6)&amp;IF(F6="","",CHAR(10)&amp;"Preview: "&amp;F6)&amp;IF(G6="","",CHAR(10)&amp;"Kicker: "&amp;G6)&amp;IF(H6="","",CHAR(10)&amp;"Headline: "&amp;H6)&amp;IF(I6="","",IF(E6&amp;F6&amp;G6&amp;H6="","",CHAR(10)&amp;CHAR(10))&amp;I6)&amp;IF(J6="","",CHAR(10)&amp;CHAR(10)&amp;"CTA: "&amp;J6)&amp;IF(K6="","",CHAR(10)&amp;CHAR(10)&amp;"Card: "&amp;K6)&amp;IF(L6="","",CHAR(10)&amp;CHAR(10)&amp;"Quote: "&amp;L6)&amp;IF(M6="","",CHAR(10)&amp;CHAR(10)&amp;"Footer: "&amp;M6))</f>
        <v/>
      </c>
      <c r="O6" s="11">
        <f>LEN(N6)</f>
        <v/>
      </c>
    </row>
    <row r="7" ht="300" customHeight="1">
      <c r="A7" s="11" t="n">
        <v>4</v>
      </c>
      <c r="B7" s="11" t="inlineStr">
        <is>
          <t>Early access (TL Artist PP Non Flow)</t>
        </is>
      </c>
      <c r="C7" s="11" t="inlineStr">
        <is>
          <t>timed</t>
        </is>
      </c>
      <c r="D7" s="11">
        <f>IF(Inputs!$B$18="draw","(not used for a draw)","yes")</f>
        <v/>
      </c>
      <c r="E7" s="11">
        <f>IF($D7&lt;&gt;"yes","",Inputs!$B$4&amp;" – Early access for past collectors")</f>
        <v/>
      </c>
      <c r="F7" s="11">
        <f>IF($D7&lt;&gt;"yes","","Order before everyone else.")</f>
        <v/>
      </c>
      <c r="G7" s="11">
        <f>""</f>
        <v/>
      </c>
      <c r="H7" s="11">
        <f>""</f>
        <v/>
      </c>
      <c r="I7" s="11">
        <f>IF($D7&lt;&gt;"yes","",(Lines!$C$31&amp;IF(Lines!$C$49="","",CHAR(10)&amp;CHAR(10)&amp;Lines!$C$49)&amp;IF(Inputs!$B$36="","",CHAR(10)&amp;CHAR(10)&amp;Inputs!$B$36)&amp;IF(Inputs!$B$60="","",CHAR(10)&amp;CHAR(10)&amp;Inputs!$B$60)&amp;IF(Lines!$C$51="","",CHAR(10)&amp;CHAR(10)&amp;Lines!$C$51)&amp;IF(Lines!$C$52="","",CHAR(10)&amp;CHAR(10)&amp;Lines!$C$52)&amp;IF(Lines!$C$34="","",CHAR(10)&amp;CHAR(10)&amp;Lines!$C$34)&amp;IF(Lines!$C$32="","",CHAR(10)&amp;CHAR(10)&amp;Lines!$C$32)))</f>
        <v/>
      </c>
      <c r="J7" s="11">
        <f>IF($D7&lt;&gt;"yes","","Unlock early access")</f>
        <v/>
      </c>
      <c r="K7" s="11">
        <f>IF($D7&lt;&gt;"yes","",Inputs!$B$74)</f>
        <v/>
      </c>
      <c r="L7" s="11">
        <f>""</f>
        <v/>
      </c>
      <c r="M7" s="11">
        <f>IF($D7&lt;&gt;"yes","","24 hours ahead of the public launch")</f>
        <v/>
      </c>
      <c r="N7" s="11">
        <f>IF(D7&lt;&gt;"yes",D7,IF(E7="","","Subject: "&amp;E7)&amp;IF(F7="","",CHAR(10)&amp;"Preview: "&amp;F7)&amp;IF(G7="","",CHAR(10)&amp;"Kicker: "&amp;G7)&amp;IF(H7="","",CHAR(10)&amp;"Headline: "&amp;H7)&amp;IF(I7="","",IF(E7&amp;F7&amp;G7&amp;H7="","",CHAR(10)&amp;CHAR(10))&amp;I7)&amp;IF(J7="","",CHAR(10)&amp;CHAR(10)&amp;"CTA: "&amp;J7)&amp;IF(K7="","",CHAR(10)&amp;CHAR(10)&amp;"Card: "&amp;K7)&amp;IF(L7="","",CHAR(10)&amp;CHAR(10)&amp;"Quote: "&amp;L7)&amp;IF(M7="","",CHAR(10)&amp;CHAR(10)&amp;"Footer: "&amp;M7))</f>
        <v/>
      </c>
      <c r="O7" s="11">
        <f>LEN(N7)</f>
        <v/>
      </c>
    </row>
    <row r="8" ht="300" customHeight="1">
      <c r="A8" s="11" t="n">
        <v>5</v>
      </c>
      <c r="B8" s="11" t="inlineStr">
        <is>
          <t>Early Access (TL Insiders) · Early Access (LE Insiders), signed by the advisor</t>
        </is>
      </c>
      <c r="C8" s="11" t="inlineStr">
        <is>
          <t>both</t>
        </is>
      </c>
      <c r="D8" s="11">
        <f>"yes"</f>
        <v/>
      </c>
      <c r="E8" s="11">
        <f>IF($D8&lt;&gt;"yes","",Inputs!$B$4&amp;" – Early access for Insiders 🔓")</f>
        <v/>
      </c>
      <c r="F8" s="11">
        <f>IF($D8&lt;&gt;"yes","",IF(Inputs!$B$18="draw","A first look, plus early access to a limited number of pre-orders.","Collect 24 hours before everyone else."))</f>
        <v/>
      </c>
      <c r="G8" s="11">
        <f>""</f>
        <v/>
      </c>
      <c r="H8" s="11">
        <f>""</f>
        <v/>
      </c>
      <c r="I8" s="11">
        <f>IF($D8&lt;&gt;"yes","",(Lines!$C$31&amp;IF(Lines!$C$56="","",CHAR(10)&amp;CHAR(10)&amp;Lines!$C$56)&amp;IF(Inputs!$B$36="","",CHAR(10)&amp;CHAR(10)&amp;Inputs!$B$36)&amp;IF(IF(Inputs!$B$18="draw",Lines!$C$57,Lines!$C$58)="","",CHAR(10)&amp;CHAR(10)&amp;IF(Inputs!$B$18="draw",Lines!$C$57,Lines!$C$58))&amp;IF(IF(Inputs!$B$18="draw",Lines!$C$59,Lines!$C$60)="","",CHAR(10)&amp;CHAR(10)&amp;IF(Inputs!$B$18="draw",Lines!$C$59,Lines!$C$60))&amp;IF(Lines!$C$32="","",CHAR(10)&amp;CHAR(10)&amp;Lines!$C$32)&amp;IF(Lines!$C$61="","",CHAR(10)&amp;CHAR(10)&amp;Lines!$C$61)))</f>
        <v/>
      </c>
      <c r="J8" s="11">
        <f>IF($D8&lt;&gt;"yes","","Unlock early access")</f>
        <v/>
      </c>
      <c r="K8" s="11">
        <f>IF($D8&lt;&gt;"yes","",Inputs!$B$74)</f>
        <v/>
      </c>
      <c r="L8" s="11">
        <f>""</f>
        <v/>
      </c>
      <c r="M8" s="11">
        <f>IF($D8&lt;&gt;"yes","",IF(Inputs!$B$18="draw","Especially for you.","24 hours ahead of the public launch"))</f>
        <v/>
      </c>
      <c r="N8" s="11">
        <f>IF(D8&lt;&gt;"yes",D8,IF(E8="","","Subject: "&amp;E8)&amp;IF(F8="","",CHAR(10)&amp;"Preview: "&amp;F8)&amp;IF(G8="","",CHAR(10)&amp;"Kicker: "&amp;G8)&amp;IF(H8="","",CHAR(10)&amp;"Headline: "&amp;H8)&amp;IF(I8="","",IF(E8&amp;F8&amp;G8&amp;H8="","",CHAR(10)&amp;CHAR(10))&amp;I8)&amp;IF(J8="","",CHAR(10)&amp;CHAR(10)&amp;"CTA: "&amp;J8)&amp;IF(K8="","",CHAR(10)&amp;CHAR(10)&amp;"Card: "&amp;K8)&amp;IF(L8="","",CHAR(10)&amp;CHAR(10)&amp;"Quote: "&amp;L8)&amp;IF(M8="","",CHAR(10)&amp;CHAR(10)&amp;"Footer: "&amp;M8))</f>
        <v/>
      </c>
      <c r="O8" s="11">
        <f>LEN(N8)</f>
        <v/>
      </c>
    </row>
    <row r="9" ht="300" customHeight="1">
      <c r="A9" s="11" t="n">
        <v>6</v>
      </c>
      <c r="B9" s="11" t="inlineStr">
        <is>
          <t>Early/Exclusive access (LE)</t>
        </is>
      </c>
      <c r="C9" s="11" t="inlineStr">
        <is>
          <t>draw</t>
        </is>
      </c>
      <c r="D9" s="11">
        <f>IF(Inputs!$B$18="draw","yes","(not used for a timed edition)")</f>
        <v/>
      </c>
      <c r="E9" s="11">
        <f>IF($D9&lt;&gt;"yes","",Inputs!$B$4&amp;" – Early access 🔓")</f>
        <v/>
      </c>
      <c r="F9" s="11">
        <f>IF($D9&lt;&gt;"yes","","A first look, plus access to a limited number of pre-orders.")</f>
        <v/>
      </c>
      <c r="G9" s="11">
        <f>""</f>
        <v/>
      </c>
      <c r="H9" s="11">
        <f>""</f>
        <v/>
      </c>
      <c r="I9" s="11">
        <f>IF($D9&lt;&gt;"yes","",(Lines!$C$31&amp;IF(Lines!$C$53="","",CHAR(10)&amp;CHAR(10)&amp;Lines!$C$53)&amp;IF(Inputs!$B$36="","",CHAR(10)&amp;CHAR(10)&amp;Inputs!$B$36)&amp;IF(Lines!$C$54="","",CHAR(10)&amp;CHAR(10)&amp;Lines!$C$54)&amp;IF(Lines!$C$55="","",CHAR(10)&amp;CHAR(10)&amp;Lines!$C$55)&amp;IF(Lines!$C$34="","",CHAR(10)&amp;CHAR(10)&amp;Lines!$C$34)&amp;IF(Lines!$C$32="","",CHAR(10)&amp;CHAR(10)&amp;Lines!$C$32)))</f>
        <v/>
      </c>
      <c r="J9" s="11">
        <f>IF($D9&lt;&gt;"yes","","Unlock early access")</f>
        <v/>
      </c>
      <c r="K9" s="11">
        <f>IF($D9&lt;&gt;"yes","",Inputs!$B$74)</f>
        <v/>
      </c>
      <c r="L9" s="11">
        <f>""</f>
        <v/>
      </c>
      <c r="M9" s="11">
        <f>IF($D9&lt;&gt;"yes","","Especially for you.")</f>
        <v/>
      </c>
      <c r="N9" s="11">
        <f>IF(D9&lt;&gt;"yes",D9,IF(E9="","","Subject: "&amp;E9)&amp;IF(F9="","",CHAR(10)&amp;"Preview: "&amp;F9)&amp;IF(G9="","",CHAR(10)&amp;"Kicker: "&amp;G9)&amp;IF(H9="","",CHAR(10)&amp;"Headline: "&amp;H9)&amp;IF(I9="","",IF(E9&amp;F9&amp;G9&amp;H9="","",CHAR(10)&amp;CHAR(10))&amp;I9)&amp;IF(J9="","",CHAR(10)&amp;CHAR(10)&amp;"CTA: "&amp;J9)&amp;IF(K9="","",CHAR(10)&amp;CHAR(10)&amp;"Card: "&amp;K9)&amp;IF(L9="","",CHAR(10)&amp;CHAR(10)&amp;"Quote: "&amp;L9)&amp;IF(M9="","",CHAR(10)&amp;CHAR(10)&amp;"Footer: "&amp;M9))</f>
        <v/>
      </c>
      <c r="O9" s="11">
        <f>LEN(N9)</f>
        <v/>
      </c>
    </row>
    <row r="10" ht="300" customHeight="1">
      <c r="A10" s="11" t="n">
        <v>7</v>
      </c>
      <c r="B10" s="11" t="inlineStr">
        <is>
          <t>Now Live (TL Flow) · Now Live (TL Non-flow)</t>
        </is>
      </c>
      <c r="C10" s="11" t="inlineStr">
        <is>
          <t>timed</t>
        </is>
      </c>
      <c r="D10" s="11">
        <f>IF(Inputs!$B$18="draw","(not used for a draw)","yes")</f>
        <v/>
      </c>
      <c r="E10" s="11">
        <f>IF($D10&lt;&gt;"yes","",Inputs!$B$4&amp;" – Available now, for "&amp;Inputs!$B$19&amp;" only")</f>
        <v/>
      </c>
      <c r="F10" s="11">
        <f>IF($D10&lt;&gt;"yes","",Inputs!$B$73&amp;", starting now.")</f>
        <v/>
      </c>
      <c r="G10" s="11">
        <f>IF($D10&lt;&gt;"yes","",Lines!$C$35)</f>
        <v/>
      </c>
      <c r="H10" s="11">
        <f>IF($D10&lt;&gt;"yes","",Inputs!$B$73&amp;", starting now")</f>
        <v/>
      </c>
      <c r="I10" s="11">
        <f>IF($D10&lt;&gt;"yes","",(Lines!$C$63&amp;IF(Inputs!$B$36="","",CHAR(10)&amp;CHAR(10)&amp;Inputs!$B$36)&amp;IF(Inputs!$B$61="","",CHAR(10)&amp;CHAR(10)&amp;Inputs!$B$61)&amp;IF(Inputs!$B$60="","",CHAR(10)&amp;CHAR(10)&amp;Inputs!$B$60)&amp;IF(Lines!$C$64="","",CHAR(10)&amp;CHAR(10)&amp;Lines!$C$64)&amp;IF(IF(Inputs!$B$26="","",Lines!$C$36)="","",CHAR(10)&amp;CHAR(10)&amp;IF(Inputs!$B$26="","",Lines!$C$36))))</f>
        <v/>
      </c>
      <c r="J10" s="11">
        <f>IF($D10&lt;&gt;"yes","","Buy now")</f>
        <v/>
      </c>
      <c r="K10" s="11">
        <f>IF($D10&lt;&gt;"yes","",Inputs!$B$74)</f>
        <v/>
      </c>
      <c r="L10" s="11">
        <f>IF($D10&lt;&gt;"yes","",Inputs!$B$75)</f>
        <v/>
      </c>
      <c r="M10" s="11">
        <f>IF($D10&lt;&gt;"yes","","Collect "&amp;Inputs!$B$71)</f>
        <v/>
      </c>
      <c r="N10" s="11">
        <f>IF(D10&lt;&gt;"yes",D10,IF(E10="","","Subject: "&amp;E10)&amp;IF(F10="","",CHAR(10)&amp;"Preview: "&amp;F10)&amp;IF(G10="","",CHAR(10)&amp;"Kicker: "&amp;G10)&amp;IF(H10="","",CHAR(10)&amp;"Headline: "&amp;H10)&amp;IF(I10="","",IF(E10&amp;F10&amp;G10&amp;H10="","",CHAR(10)&amp;CHAR(10))&amp;I10)&amp;IF(J10="","",CHAR(10)&amp;CHAR(10)&amp;"CTA: "&amp;J10)&amp;IF(K10="","",CHAR(10)&amp;CHAR(10)&amp;"Card: "&amp;K10)&amp;IF(L10="","",CHAR(10)&amp;CHAR(10)&amp;"Quote: "&amp;L10)&amp;IF(M10="","",CHAR(10)&amp;CHAR(10)&amp;"Footer: "&amp;M10))</f>
        <v/>
      </c>
      <c r="O10" s="11">
        <f>LEN(N10)</f>
        <v/>
      </c>
    </row>
    <row r="11" ht="90" customHeight="1">
      <c r="A11" s="11" t="n">
        <v>8</v>
      </c>
      <c r="B11" s="11" t="inlineStr">
        <is>
          <t>Halfway (TL Flow)</t>
        </is>
      </c>
      <c r="C11" s="11" t="inlineStr">
        <is>
          <t>timed, 48 hours</t>
        </is>
      </c>
      <c r="D11" s="11">
        <f>IF(Inputs!$B$18="draw","(not used for a draw)",IF(Inputs!$B$19="48 hours","yes","(48-hour windows only; a one-week window gets the 5 days and 3 days emails)"))</f>
        <v/>
      </c>
      <c r="E11" s="11">
        <f>IF($D11&lt;&gt;"yes","",Inputs!$B$4&amp;" – 24 hours to go")</f>
        <v/>
      </c>
      <c r="F11" s="11">
        <f>""</f>
        <v/>
      </c>
      <c r="G11" s="11">
        <f>IF($D11&lt;&gt;"yes","",Lines!$C$35)</f>
        <v/>
      </c>
      <c r="H11" s="11">
        <f>IF($D11&lt;&gt;"yes","",Lines!$C$65)</f>
        <v/>
      </c>
      <c r="I11" s="11">
        <f>""</f>
        <v/>
      </c>
      <c r="J11" s="11">
        <f>IF($D11&lt;&gt;"yes","","Buy now")</f>
        <v/>
      </c>
      <c r="K11" s="11">
        <f>""</f>
        <v/>
      </c>
      <c r="L11" s="11">
        <f>""</f>
        <v/>
      </c>
      <c r="M11" s="11">
        <f>IF($D11&lt;&gt;"yes","",Lines!$C$66)</f>
        <v/>
      </c>
      <c r="N11" s="11">
        <f>IF(D11&lt;&gt;"yes",D11,IF(E11="","","Subject: "&amp;E11)&amp;IF(F11="","",CHAR(10)&amp;"Preview: "&amp;F11)&amp;IF(G11="","",CHAR(10)&amp;"Kicker: "&amp;G11)&amp;IF(H11="","",CHAR(10)&amp;"Headline: "&amp;H11)&amp;IF(I11="","",IF(E11&amp;F11&amp;G11&amp;H11="","",CHAR(10)&amp;CHAR(10))&amp;I11)&amp;IF(J11="","",CHAR(10)&amp;CHAR(10)&amp;"CTA: "&amp;J11)&amp;IF(K11="","",CHAR(10)&amp;CHAR(10)&amp;"Card: "&amp;K11)&amp;IF(L11="","",CHAR(10)&amp;CHAR(10)&amp;"Quote: "&amp;L11)&amp;IF(M11="","",CHAR(10)&amp;CHAR(10)&amp;"Footer: "&amp;M11))</f>
        <v/>
      </c>
      <c r="O11" s="11">
        <f>LEN(N11)</f>
        <v/>
      </c>
    </row>
    <row r="12" ht="90" customHeight="1">
      <c r="A12" s="11" t="n">
        <v>9</v>
      </c>
      <c r="B12" s="11" t="inlineStr">
        <is>
          <t>5 days to go (TL Flow)</t>
        </is>
      </c>
      <c r="C12" s="11" t="inlineStr">
        <is>
          <t>timed, one week</t>
        </is>
      </c>
      <c r="D12" s="11">
        <f>IF(Inputs!$B$18="draw","(not used for a draw)",IF(Inputs!$B$19="48 hours","(one-week windows only; a 48-hour window gets the halfway email)","yes"))</f>
        <v/>
      </c>
      <c r="E12" s="11">
        <f>IF($D12&lt;&gt;"yes","",Inputs!$B$4&amp;" – 5 days left")</f>
        <v/>
      </c>
      <c r="F12" s="11">
        <f>""</f>
        <v/>
      </c>
      <c r="G12" s="11">
        <f>IF($D12&lt;&gt;"yes","",Lines!$C$35)</f>
        <v/>
      </c>
      <c r="H12" s="11">
        <f>IF($D12&lt;&gt;"yes","",Lines!$C$67)</f>
        <v/>
      </c>
      <c r="I12" s="11">
        <f>""</f>
        <v/>
      </c>
      <c r="J12" s="11">
        <f>IF($D12&lt;&gt;"yes","","Buy "&amp;Inputs!$B$48)</f>
        <v/>
      </c>
      <c r="K12" s="11">
        <f>""</f>
        <v/>
      </c>
      <c r="L12" s="11">
        <f>""</f>
        <v/>
      </c>
      <c r="M12" s="11">
        <f>IF($D12&lt;&gt;"yes","",Lines!$C$71)</f>
        <v/>
      </c>
      <c r="N12" s="11">
        <f>IF(D12&lt;&gt;"yes",D12,IF(E12="","","Subject: "&amp;E12)&amp;IF(F12="","",CHAR(10)&amp;"Preview: "&amp;F12)&amp;IF(G12="","",CHAR(10)&amp;"Kicker: "&amp;G12)&amp;IF(H12="","",CHAR(10)&amp;"Headline: "&amp;H12)&amp;IF(I12="","",IF(E12&amp;F12&amp;G12&amp;H12="","",CHAR(10)&amp;CHAR(10))&amp;I12)&amp;IF(J12="","",CHAR(10)&amp;CHAR(10)&amp;"CTA: "&amp;J12)&amp;IF(K12="","",CHAR(10)&amp;CHAR(10)&amp;"Card: "&amp;K12)&amp;IF(L12="","",CHAR(10)&amp;CHAR(10)&amp;"Quote: "&amp;L12)&amp;IF(M12="","",CHAR(10)&amp;CHAR(10)&amp;"Footer: "&amp;M12))</f>
        <v/>
      </c>
      <c r="O12" s="11">
        <f>LEN(N12)</f>
        <v/>
      </c>
    </row>
    <row r="13" ht="300" customHeight="1">
      <c r="A13" s="11" t="n">
        <v>10</v>
      </c>
      <c r="B13" s="11" t="inlineStr">
        <is>
          <t>3 days to go (TL Flow)</t>
        </is>
      </c>
      <c r="C13" s="11" t="inlineStr">
        <is>
          <t>timed, one week</t>
        </is>
      </c>
      <c r="D13" s="11">
        <f>IF(Inputs!$B$18="draw","(not used for a draw)",IF(Inputs!$B$19="48 hours","(one-week windows only; a 48-hour window gets the halfway email)","yes"))</f>
        <v/>
      </c>
      <c r="E13" s="11">
        <f>IF($D13&lt;&gt;"yes","",Inputs!$B$4&amp;" – 3 days to go")</f>
        <v/>
      </c>
      <c r="F13" s="11">
        <f>""</f>
        <v/>
      </c>
      <c r="G13" s="11">
        <f>IF($D13&lt;&gt;"yes","",Inputs!$B$52&amp;" by "&amp;Inputs!$B$4)</f>
        <v/>
      </c>
      <c r="H13" s="11">
        <f>IF($D13&lt;&gt;"yes","",Lines!$C$68)</f>
        <v/>
      </c>
      <c r="I13" s="11">
        <f>IF($D13&lt;&gt;"yes","",(Lines!$C$69&amp;IF(Inputs!$B$36="","",CHAR(10)&amp;CHAR(10)&amp;Inputs!$B$36)&amp;IF(Lines!$C$70="","",CHAR(10)&amp;CHAR(10)&amp;Lines!$C$70)&amp;IF(IF(Inputs!$B$26="","",Lines!$C$37)="","",CHAR(10)&amp;CHAR(10)&amp;IF(Inputs!$B$26="","",Lines!$C$37))))</f>
        <v/>
      </c>
      <c r="J13" s="11">
        <f>IF($D13&lt;&gt;"yes","","Buy "&amp;Inputs!$B$48)</f>
        <v/>
      </c>
      <c r="K13" s="11">
        <f>IF($D13&lt;&gt;"yes","",Inputs!$B$74)</f>
        <v/>
      </c>
      <c r="L13" s="11">
        <f>""</f>
        <v/>
      </c>
      <c r="M13" s="11">
        <f>IF($D13&lt;&gt;"yes","",Lines!$C$71)</f>
        <v/>
      </c>
      <c r="N13" s="11">
        <f>IF(D13&lt;&gt;"yes",D13,IF(E13="","","Subject: "&amp;E13)&amp;IF(F13="","",CHAR(10)&amp;"Preview: "&amp;F13)&amp;IF(G13="","",CHAR(10)&amp;"Kicker: "&amp;G13)&amp;IF(H13="","",CHAR(10)&amp;"Headline: "&amp;H13)&amp;IF(I13="","",IF(E13&amp;F13&amp;G13&amp;H13="","",CHAR(10)&amp;CHAR(10))&amp;I13)&amp;IF(J13="","",CHAR(10)&amp;CHAR(10)&amp;"CTA: "&amp;J13)&amp;IF(K13="","",CHAR(10)&amp;CHAR(10)&amp;"Card: "&amp;K13)&amp;IF(L13="","",CHAR(10)&amp;CHAR(10)&amp;"Quote: "&amp;L13)&amp;IF(M13="","",CHAR(10)&amp;CHAR(10)&amp;"Footer: "&amp;M13))</f>
        <v/>
      </c>
      <c r="O13" s="11">
        <f>LEN(N13)</f>
        <v/>
      </c>
    </row>
    <row r="14" ht="300" customHeight="1">
      <c r="A14" s="11" t="n">
        <v>11</v>
      </c>
      <c r="B14" s="11" t="inlineStr">
        <is>
          <t>Last chance (TL Flow) · Last chance (LE)</t>
        </is>
      </c>
      <c r="C14" s="11" t="inlineStr">
        <is>
          <t>both</t>
        </is>
      </c>
      <c r="D14" s="11">
        <f>"yes"</f>
        <v/>
      </c>
      <c r="E14" s="11">
        <f>IF($D14&lt;&gt;"yes","",Inputs!$B$4&amp;" – Last chance to "&amp;IF(Inputs!$B$18="draw","enter the draw","collect"))</f>
        <v/>
      </c>
      <c r="F14" s="11">
        <f>IF($D14&lt;&gt;"yes","",IF(Inputs!$B$18="draw","The draw closes at "&amp;Inputs!$B$68&amp;" on "&amp;Inputs!$B$67&amp;".","Time is almost up."))</f>
        <v/>
      </c>
      <c r="G14" s="11">
        <f>IF($D14&lt;&gt;"yes","",Inputs!$B$4)</f>
        <v/>
      </c>
      <c r="H14" s="11">
        <f>IF($D14&lt;&gt;"yes","",IF(Inputs!$B$18="draw","Last chance to enter the draw","Last chance to collect"))</f>
        <v/>
      </c>
      <c r="I14" s="11">
        <f>IF($D14&lt;&gt;"yes","",IF(Inputs!$B$18="draw",(Lines!$C$75&amp;IF(Inputs!$B$36="","",CHAR(10)&amp;CHAR(10)&amp;Inputs!$B$36)&amp;IF(Lines!$C$76="","",CHAR(10)&amp;CHAR(10)&amp;Lines!$C$76)),(Lines!$C$73&amp;IF(Lines!$C$74="","",CHAR(10)&amp;CHAR(10)&amp;Lines!$C$74)&amp;IF(IF(Inputs!$B$26="","",Lines!$C$37)="","",CHAR(10)&amp;CHAR(10)&amp;IF(Inputs!$B$26="","",Lines!$C$37)))))</f>
        <v/>
      </c>
      <c r="J14" s="11">
        <f>IF($D14&lt;&gt;"yes","",IF(Inputs!$B$18="draw","Enter the draw","Buy now"))</f>
        <v/>
      </c>
      <c r="K14" s="11">
        <f>IF($D14&lt;&gt;"yes","",Inputs!$B$74)</f>
        <v/>
      </c>
      <c r="L14" s="11">
        <f>""</f>
        <v/>
      </c>
      <c r="M14" s="11">
        <f>IF($D14&lt;&gt;"yes","","Time is almost up")</f>
        <v/>
      </c>
      <c r="N14" s="11">
        <f>IF(D14&lt;&gt;"yes",D14,IF(E14="","","Subject: "&amp;E14)&amp;IF(F14="","",CHAR(10)&amp;"Preview: "&amp;F14)&amp;IF(G14="","",CHAR(10)&amp;"Kicker: "&amp;G14)&amp;IF(H14="","",CHAR(10)&amp;"Headline: "&amp;H14)&amp;IF(I14="","",IF(E14&amp;F14&amp;G14&amp;H14="","",CHAR(10)&amp;CHAR(10))&amp;I14)&amp;IF(J14="","",CHAR(10)&amp;CHAR(10)&amp;"CTA: "&amp;J14)&amp;IF(K14="","",CHAR(10)&amp;CHAR(10)&amp;"Card: "&amp;K14)&amp;IF(L14="","",CHAR(10)&amp;CHAR(10)&amp;"Quote: "&amp;L14)&amp;IF(M14="","",CHAR(10)&amp;CHAR(10)&amp;"Footer: "&amp;M14))</f>
        <v/>
      </c>
      <c r="O14" s="11">
        <f>LEN(N14)</f>
        <v/>
      </c>
    </row>
    <row r="15" ht="300" customHeight="1">
      <c r="A15" s="11" t="n">
        <v>12</v>
      </c>
      <c r="B15" s="11" t="inlineStr">
        <is>
          <t>First-time collector survey (LE)</t>
        </is>
      </c>
      <c r="C15" s="11" t="inlineStr">
        <is>
          <t>draw, after the draw closes</t>
        </is>
      </c>
      <c r="D15" s="11">
        <f>IF(Inputs!$B$18="draw","yes","(not used for a timed edition)")</f>
        <v/>
      </c>
      <c r="E15" s="11">
        <f>IF($D15&lt;&gt;"yes","",Lines!$C$78)</f>
        <v/>
      </c>
      <c r="F15" s="11">
        <f>""</f>
        <v/>
      </c>
      <c r="G15" s="11">
        <f>""</f>
        <v/>
      </c>
      <c r="H15" s="11">
        <f>""</f>
        <v/>
      </c>
      <c r="I15" s="11">
        <f>IF($D15&lt;&gt;"yes","",(Lines!$C$31&amp;IF(Lines!$C$79="","",CHAR(10)&amp;CHAR(10)&amp;Lines!$C$79)&amp;IF(Lines!$C$80="","",CHAR(10)&amp;CHAR(10)&amp;Lines!$C$80)&amp;IF(Lines!$C$81="","",CHAR(10)&amp;CHAR(10)&amp;Lines!$C$81)&amp;IF(Lines!$C$82="","",CHAR(10)&amp;CHAR(10)&amp;Lines!$C$82)))</f>
        <v/>
      </c>
      <c r="J15" s="11">
        <f>IF($D15&lt;&gt;"yes","","Complete survey")</f>
        <v/>
      </c>
      <c r="K15" s="11">
        <f>IF($D15&lt;&gt;"yes","",Inputs!$B$4)</f>
        <v/>
      </c>
      <c r="L15" s="11">
        <f>""</f>
        <v/>
      </c>
      <c r="M15" s="11">
        <f>""</f>
        <v/>
      </c>
      <c r="N15" s="11">
        <f>IF(D15&lt;&gt;"yes",D15,IF(E15="","","Subject: "&amp;E15)&amp;IF(F15="","",CHAR(10)&amp;"Preview: "&amp;F15)&amp;IF(G15="","",CHAR(10)&amp;"Kicker: "&amp;G15)&amp;IF(H15="","",CHAR(10)&amp;"Headline: "&amp;H15)&amp;IF(I15="","",IF(E15&amp;F15&amp;G15&amp;H15="","",CHAR(10)&amp;CHAR(10))&amp;I15)&amp;IF(J15="","",CHAR(10)&amp;CHAR(10)&amp;"CTA: "&amp;J15)&amp;IF(K15="","",CHAR(10)&amp;CHAR(10)&amp;"Card: "&amp;K15)&amp;IF(L15="","",CHAR(10)&amp;CHAR(10)&amp;"Quote: "&amp;L15)&amp;IF(M15="","",CHAR(10)&amp;CHAR(10)&amp;"Footer: "&amp;M15))</f>
        <v/>
      </c>
      <c r="O15" s="11">
        <f>LEN(N15)</f>
        <v/>
      </c>
    </row>
    <row r="16" ht="300" customHeight="1">
      <c r="A16" s="11" t="n">
        <v>13</v>
      </c>
      <c r="B16" s="11" t="inlineStr">
        <is>
          <t>Non-purchaser survey (LE)</t>
        </is>
      </c>
      <c r="C16" s="11" t="inlineStr">
        <is>
          <t>draw, after the draw closes</t>
        </is>
      </c>
      <c r="D16" s="11">
        <f>IF(Inputs!$B$18="draw","yes","(not used for a timed edition)")</f>
        <v/>
      </c>
      <c r="E16" s="11">
        <f>IF($D16&lt;&gt;"yes","",Inputs!$B$4&amp;" – Any feedback?")</f>
        <v/>
      </c>
      <c r="F16" s="11">
        <f>""</f>
        <v/>
      </c>
      <c r="G16" s="11">
        <f>IF($D16&lt;&gt;"yes","","Your feedback")</f>
        <v/>
      </c>
      <c r="H16" s="11">
        <f>IF($D16&lt;&gt;"yes","",Inputs!$B$4)</f>
        <v/>
      </c>
      <c r="I16" s="11">
        <f>IF($D16&lt;&gt;"yes","",(Lines!$C$83&amp;IF(Lines!$C$84="","",CHAR(10)&amp;CHAR(10)&amp;Lines!$C$84)&amp;IF(Lines!$C$85="","",CHAR(10)&amp;CHAR(10)&amp;Lines!$C$85)&amp;IF(Lines!$C$86="","",CHAR(10)&amp;CHAR(10)&amp;Lines!$C$86)))</f>
        <v/>
      </c>
      <c r="J16" s="11">
        <f>IF($D16&lt;&gt;"yes","","Complete survey")</f>
        <v/>
      </c>
      <c r="K16" s="11">
        <f>""</f>
        <v/>
      </c>
      <c r="L16" s="11">
        <f>""</f>
        <v/>
      </c>
      <c r="M16" s="11">
        <f>IF($D16&lt;&gt;"yes","",Lines!$C$87)</f>
        <v/>
      </c>
      <c r="N16" s="11">
        <f>IF(D16&lt;&gt;"yes",D16,IF(E16="","","Subject: "&amp;E16)&amp;IF(F16="","",CHAR(10)&amp;"Preview: "&amp;F16)&amp;IF(G16="","",CHAR(10)&amp;"Kicker: "&amp;G16)&amp;IF(H16="","",CHAR(10)&amp;"Headline: "&amp;H16)&amp;IF(I16="","",IF(E16&amp;F16&amp;G16&amp;H16="","",CHAR(10)&amp;CHAR(10))&amp;I16)&amp;IF(J16="","",CHAR(10)&amp;CHAR(10)&amp;"CTA: "&amp;J16)&amp;IF(K16="","",CHAR(10)&amp;CHAR(10)&amp;"Card: "&amp;K16)&amp;IF(L16="","",CHAR(10)&amp;CHAR(10)&amp;"Quote: "&amp;L16)&amp;IF(M16="","",CHAR(10)&amp;CHAR(10)&amp;"Footer: "&amp;M16))</f>
        <v/>
      </c>
      <c r="O16" s="11">
        <f>LEN(N16)</f>
        <v/>
      </c>
    </row>
    <row r="17" ht="300" customHeight="1">
      <c r="A17" s="11" t="n">
        <v>14</v>
      </c>
      <c r="B17" s="11" t="inlineStr">
        <is>
          <t>Monthly Preview · this release's paragraph</t>
        </is>
      </c>
      <c r="C17" s="11" t="inlineStr">
        <is>
          <t>both; the advisor's monthly email is one paragraph per release, this is this release's</t>
        </is>
      </c>
      <c r="D17" s="11">
        <f>"yes"</f>
        <v/>
      </c>
      <c r="E17" s="11">
        <f>""</f>
        <v/>
      </c>
      <c r="F17" s="11">
        <f>""</f>
        <v/>
      </c>
      <c r="G17" s="11">
        <f>""</f>
        <v/>
      </c>
      <c r="H17" s="11">
        <f>""</f>
        <v/>
      </c>
      <c r="I17" s="11">
        <f>IF($D17&lt;&gt;"yes","",(Lines!$C$89&amp;IF(Inputs!$B$36="","",CHAR(10)&amp;CHAR(10)&amp;Inputs!$B$36)&amp;IF(Inputs!$B$61="","",CHAR(10)&amp;CHAR(10)&amp;Inputs!$B$61)&amp;IF(IF(Inputs!$B$18="draw",Lines!$C$90,Lines!$C$91)="","",CHAR(10)&amp;CHAR(10)&amp;IF(Inputs!$B$18="draw",Lines!$C$90,Lines!$C$91))))</f>
        <v/>
      </c>
      <c r="J17" s="11">
        <f>""</f>
        <v/>
      </c>
      <c r="K17" s="11">
        <f>""</f>
        <v/>
      </c>
      <c r="L17" s="11">
        <f>""</f>
        <v/>
      </c>
      <c r="M17" s="11">
        <f>""</f>
        <v/>
      </c>
      <c r="N17" s="11">
        <f>IF(D17&lt;&gt;"yes",D17,IF(E17="","","Subject: "&amp;E17)&amp;IF(F17="","",CHAR(10)&amp;"Preview: "&amp;F17)&amp;IF(G17="","",CHAR(10)&amp;"Kicker: "&amp;G17)&amp;IF(H17="","",CHAR(10)&amp;"Headline: "&amp;H17)&amp;IF(I17="","",IF(E17&amp;F17&amp;G17&amp;H17="","",CHAR(10)&amp;CHAR(10))&amp;I17)&amp;IF(J17="","",CHAR(10)&amp;CHAR(10)&amp;"CTA: "&amp;J17)&amp;IF(K17="","",CHAR(10)&amp;CHAR(10)&amp;"Card: "&amp;K17)&amp;IF(L17="","",CHAR(10)&amp;CHAR(10)&amp;"Quote: "&amp;L17)&amp;IF(M17="","",CHAR(10)&amp;CHAR(10)&amp;"Footer: "&amp;M17))</f>
        <v/>
      </c>
      <c r="O17" s="11">
        <f>LEN(N17)</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0" customWidth="1" min="1" max="1"/>
    <col width="112" customWidth="1" min="2" max="2"/>
  </cols>
  <sheetData>
    <row r="1">
      <c r="A1" s="1" t="inlineStr">
        <is>
          <t>The system on one page</t>
        </is>
      </c>
    </row>
    <row r="3" ht="46" customHeight="1">
      <c r="A3" s="12" t="inlineStr">
        <is>
          <t>What it covers</t>
        </is>
      </c>
      <c r="B3" s="10" t="inlineStr">
        <is>
          <t>Every post on our own Instagram feed and the Insiders account, the tweets, and the emails in the comms plan: Announcement (TL and LE), Welcome, Early Access (TL Flow, TL Artist PP, Insiders TL and LE, LE early/exclusive), Now Live, Halfway, 5 days to go, 3 days to go, Last chance (TL and LE), the two LE surveys, and this release's paragraph for the Monthly Preview. The artist's own email is rare and stays hand-written.</t>
        </is>
      </c>
    </row>
    <row r="4" ht="46" customHeight="1">
      <c r="A4" s="12" t="inlineStr">
        <is>
          <t>Skeleton, posts</t>
        </is>
      </c>
      <c r="B4" s="10" t="inlineStr">
        <is>
          <t>Every post is: status line, substance, features line, action line, and a hashtag on the announcement only. Coming Soon opens with the bio.</t>
        </is>
      </c>
    </row>
    <row r="5" ht="46" customHeight="1">
      <c r="A5" s="12" t="inlineStr">
        <is>
          <t>Insiders</t>
        </is>
      </c>
      <c r="B5" s="10" t="inlineStr">
        <is>
          <t>The Insiders account posts the same caption as the main feed. The plan says which: Announcement, Now Live and Halfway for a timed edition, Announcement for a draw. The Channels column on Posts carries this. Stories are image-led and stay outside the sheet.</t>
        </is>
      </c>
    </row>
    <row r="6" ht="46" customHeight="1">
      <c r="A6" s="12" t="inlineStr">
        <is>
          <t>Twitter</t>
        </is>
      </c>
      <c r="B6" s="10" t="inlineStr">
        <is>
          <t>A tweet is the post's status line with the X handle, the hook on the announcement only, the beneficiary named once, and an action line that ends with the link: sign up for updates, enter the draw, or buy a print. No features line, no hashtag, no bio. Same deadline form. Coming soon names the artist and not the work.</t>
        </is>
      </c>
    </row>
    <row r="7" ht="46" customHeight="1">
      <c r="A7" s="12" t="inlineStr">
        <is>
          <t>Skeleton, emails</t>
        </is>
      </c>
      <c r="B7" s="10" t="inlineStr">
        <is>
          <t>Every email is: subject, preview, kicker, headline, body paragraphs, CTA, card, quote, footer. Bodies are fixed sentences from the Lines sheet with the same fragments dropped in. Halfway and 5 days to go have no body: they are image-led.</t>
        </is>
      </c>
    </row>
    <row r="8" ht="46" customHeight="1">
      <c r="A8" s="12" t="inlineStr">
        <is>
          <t>The hook carries the voice</t>
        </is>
      </c>
      <c r="B8" s="10" t="inlineStr">
        <is>
          <t>The hook is where a release sounds like itself, and it can be as editorial as the writer likes: 'Folklore says a changeling is a child swapped at birth for something not quite human. Grayson Perry's version is the generation raised by screens, and he means it to disturb.' The one test is that it must read as well in the middle of an email as at the top of a post, because it appears in 16 slots and most of them are middle paragraphs. That rules out a sentence which assumes it is opening: a rhetorical question, or an aside about the artist that never describes the work.</t>
        </is>
      </c>
    </row>
    <row r="9" ht="46" customHeight="1">
      <c r="A9" s="12" t="inlineStr">
        <is>
          <t>Naming the work</t>
        </is>
      </c>
      <c r="B9" s="10" t="inlineStr">
        <is>
          <t>The opener's tail is the title (single print only), the edition phrase, and the qualifier if one is written: 'The Changeling, a new limited edition print'; 'a quartet of new limited edition prints spanning five decades of the artist's career'; 'six new limited edition prints from his iconic Dream House series'. A pair or a quartet takes no title; the hook names the work. The same tail is used by the Insiders email, LE early access, Now Live and the Monthly Preview paragraph.</t>
        </is>
      </c>
    </row>
    <row r="10" ht="46" customHeight="1">
      <c r="A10" s="12" t="inlineStr">
        <is>
          <t>Fragments</t>
        </is>
      </c>
      <c r="B10" s="10" t="inlineStr">
        <is>
          <t>Four per release, written once: bio (2 to 3 sentences, Coming Soon only), hook (2 to 3 sentences about the work, in every post and email), making (one sentence on how it was made), quote (verbatim). The hook and bio must not repeat each other.</t>
        </is>
      </c>
    </row>
    <row r="11" ht="46" customHeight="1">
      <c r="A11" s="12" t="inlineStr">
        <is>
          <t>Voice</t>
        </is>
      </c>
      <c r="B11" s="10" t="inlineStr">
        <is>
          <t>Fragments never say we or our, and the making line says 'printmakers at Make-Ready' so the sheet can add 'our'. The hook may name the artist. The Insiders email and the first-time survey are signed by the advisor named on Inputs. Features never say 'our'.</t>
        </is>
      </c>
    </row>
    <row r="12" ht="46" customHeight="1">
      <c r="A12" s="12" t="inlineStr">
        <is>
          <t>Who and what</t>
        </is>
      </c>
      <c r="B12" s="10" t="inlineStr">
        <is>
          <t>'by {artist}' is always the artist. 'collaboration with {collab_with}' is the artist's name, or the estate. 'unit' is what one is called (print, embroidery, sculpture), and the sheet writes 'a print' or 'an embroidery' wherever a line names one.</t>
        </is>
      </c>
    </row>
    <row r="13" ht="46" customHeight="1">
      <c r="A13" s="12" t="inlineStr">
        <is>
          <t>Features</t>
        </is>
      </c>
      <c r="B13" s="10" t="inlineStr">
        <is>
          <t>The standard three (signed by the artist, individually numbered, free worldwide shipping) plus anything bespoke: framed, a set offer, a partner credit. One line of short sentences in a post, a list in an email. The beneficiary follows, named once.</t>
        </is>
      </c>
    </row>
    <row r="14" ht="46" customHeight="1">
      <c r="A14" s="12" t="inlineStr">
        <is>
          <t>Beneficiary</t>
        </is>
      </c>
      <c r="B14" s="10" t="inlineStr">
        <is>
          <t>One phrase everywhere: 'released in support of'. It goes in the opener unless the hook already names the beneficiary.</t>
        </is>
      </c>
    </row>
    <row r="15" ht="46" customHeight="1">
      <c r="A15" s="12" t="inlineStr">
        <is>
          <t>Framing offer</t>
        </is>
      </c>
      <c r="B15" s="10" t="inlineStr">
        <is>
          <t>A framing code on Inputs adds the first-purchase framing line to Early Access, Now Live, 3 days to go and Last chance. Blank means no offer.</t>
        </is>
      </c>
    </row>
    <row r="16" ht="46" customHeight="1">
      <c r="A16" s="12" t="inlineStr">
        <is>
          <t>Action lines</t>
        </is>
      </c>
      <c r="B16" s="10" t="inlineStr">
        <is>
          <t>Three CTAs: get updates before launch, enter the draw for a draw, buy one for an open window. One deadline form: Closes {date} at {time} UK time, or 'until {time} on {weekday}, {date}' in an email.</t>
        </is>
      </c>
    </row>
    <row r="17" ht="46" customHeight="1">
      <c r="A17" s="12" t="inlineStr">
        <is>
          <t>Mechanic and window</t>
        </is>
      </c>
      <c r="B17" s="10" t="inlineStr">
        <is>
          <t>Set mechanic to timed or draw and the sheet switches every line. For a timed edition, a 48-hour window gets the halfway email; a one-week window gets 5 days to go and 3 days to go.</t>
        </is>
      </c>
    </row>
    <row r="18" ht="46" customHeight="1">
      <c r="A18" s="12" t="inlineStr">
        <is>
          <t>Dates</t>
        </is>
      </c>
      <c r="B18" s="10" t="inlineStr">
        <is>
          <t>Enter launch and close once as date and time; the sheet derives '30 April', '14:00 UK time', 'Thursday' and '07 May' where each email needs them.</t>
        </is>
      </c>
    </row>
    <row r="19" ht="46" customHeight="1">
      <c r="A19" s="12" t="inlineStr">
        <is>
          <t>What stays written</t>
        </is>
      </c>
      <c r="B19" s="10" t="inlineStr">
        <is>
          <t>A delay reason, a framing paragraph, editorial deep dives, the rest of the Monthly Preview, the artist's own email, artist-local times, and anything for a second release.</t>
        </is>
      </c>
    </row>
    <row r="20" ht="46" customHeight="1">
      <c r="A20" s="12" t="inlineStr">
        <is>
          <t>How to use</t>
        </is>
      </c>
      <c r="B20" s="10" t="inlineStr">
        <is>
          <t>Fill the blue cells on Inputs. Read Posts, Tweets and Emails. To change the house wording, edit the blue cells on Lines once.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2026-09-14T15:53:35Z</dcterms:created>
  <dcterms:modified xsi:type="dcterms:W3CDTF">2026-09-14T15:53:35Z</dcterms:modified>
</cp:coreProperties>
</file>