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craft the edition, printmakers at Make-Ready worked from the original Kodak transparencies, creating a high fidelity silkscreen of the original piece.</t>
        </is>
      </c>
      <c r="C39" s="9" t="inlineStr">
        <is>
          <t>one sentence on how the edition was made; write 'printmakers at Make-Ready' and the sheet adds 'our'.</t>
        </is>
      </c>
    </row>
    <row r="40" ht="32" customHeight="1">
      <c r="A40" s="4" t="inlineStr">
        <is>
          <t>card_line_1</t>
        </is>
      </c>
      <c r="B40" s="8" t="inlineStr">
        <is>
          <t>One of the most iconic figures from a truly iconic series, Sandy is a striking exploration of urban alienation.</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It was really important to me that as I got older as an artist, I could still make work that meant something. I wanna make work that matters.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9"/>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SUBSTITUTE(SUBSTITUTE(B69,"{artist}",Inputs!$B$4),"{collect_phrase}",Inputs!$B$74)</f>
        <v/>
      </c>
    </row>
    <row r="70" ht="32" customHeight="1">
      <c r="A70" s="4" t="inlineStr">
        <is>
          <t>email · 3 days · 2</t>
        </is>
      </c>
      <c r="B70" s="8" t="inlineStr">
        <is>
          <t>Click the link to collect before {close_time} on {close_weekday}, {close_date_dd}.</t>
        </is>
      </c>
      <c r="C70" s="10">
        <f>SUBSTITUTE(SUBSTITUTE(SUBSTITUTE(B70,"{close_time}",Inputs!$B$71),"{close_weekday}",Inputs!$B$72),"{close_date_dd}",Inputs!$B$73)</f>
        <v/>
      </c>
    </row>
    <row r="71">
      <c r="A71" s="3" t="inlineStr">
        <is>
          <t>EMAILS · last chance</t>
        </is>
      </c>
    </row>
    <row r="72" ht="48" customHeight="1">
      <c r="A72" s="4" t="inlineStr">
        <is>
          <t>email · last chance, timed · 1</t>
        </is>
      </c>
      <c r="B72" s="8" t="inlineStr">
        <is>
          <t>It's now or never for our {ordinal} collaboration with {collab_with} – {collect_phrase} will be available to order until {close_time} on {close_weekday}, {close_date_dd}.</t>
        </is>
      </c>
      <c r="C72" s="10">
        <f>SUBSTITUTE(SUBSTITUTE(SUBSTITUTE(SUBSTITUTE(SUBSTITUTE(SUBSTITUTE(B72,"{collab_with}",Inputs!$B$5),"{collect_phrase}",Inputs!$B$74),"{ordinal}",Inputs!$B$10),"{close_time}",Inputs!$B$71),"{close_weekday}",Inputs!$B$72),"{close_date_dd}",Inputs!$B$73)</f>
        <v/>
      </c>
    </row>
    <row r="73" ht="32" customHeight="1">
      <c r="A73" s="4" t="inlineStr">
        <is>
          <t>email · last chance, timed · 2</t>
        </is>
      </c>
      <c r="B73" s="8" t="inlineStr">
        <is>
          <t>After this time, the edition size{each_artwork} will be confirmed, and the {work_word} will no longer be available to purchase.</t>
        </is>
      </c>
      <c r="C73" s="10">
        <f>SUBSTITUTE(SUBSTITUTE(B73,"{each_artwork}",Inputs!$B$79),"{work_word}",Inputs!$B$80)</f>
        <v/>
      </c>
    </row>
    <row r="74" ht="32" customHeight="1">
      <c r="A74" s="4" t="inlineStr">
        <is>
          <t>email · last chance, draw · 1</t>
        </is>
      </c>
      <c r="B74" s="8" t="inlineStr">
        <is>
          <t>This is your final opportunity to enter the draw for {work_email}, {collect_phrase} by {artist}.</t>
        </is>
      </c>
      <c r="C74" s="10">
        <f>SUBSTITUTE(SUBSTITUTE(SUBSTITUTE(B74,"{artist}",Inputs!$B$4),"{work_email}",Inputs!$B$52),"{collect_phrase}",Inputs!$B$74)</f>
        <v/>
      </c>
    </row>
    <row r="75" ht="32" customHeight="1">
      <c r="A75" s="4" t="inlineStr">
        <is>
          <t>email · last chance, draw · 2</t>
        </is>
      </c>
      <c r="B75" s="8" t="inlineStr">
        <is>
          <t>For a chance to collect, click the link below to enter the draw. The draw closes at {close_time} on {close_weekday}, {close_date_dd}.</t>
        </is>
      </c>
      <c r="C75" s="10">
        <f>SUBSTITUTE(SUBSTITUTE(SUBSTITUTE(B75,"{close_time}",Inputs!$B$71),"{close_weekday}",Inputs!$B$72),"{close_date_dd}",Inputs!$B$73)</f>
        <v/>
      </c>
    </row>
    <row r="76">
      <c r="A76" s="3" t="inlineStr">
        <is>
          <t>EMAILS · surveys (LE)</t>
        </is>
      </c>
    </row>
    <row r="77" ht="16" customHeight="1">
      <c r="A77" s="4" t="inlineStr">
        <is>
          <t>email · first-time survey · subject</t>
        </is>
      </c>
      <c r="B77" s="8" t="inlineStr">
        <is>
          <t>Congratulations on your first Avant Arte edition</t>
        </is>
      </c>
      <c r="C77" s="10">
        <f>B77</f>
        <v/>
      </c>
    </row>
    <row r="78" ht="32" customHeight="1">
      <c r="A78" s="4" t="inlineStr">
        <is>
          <t>email · first-time survey · 1</t>
        </is>
      </c>
      <c r="B78" s="8" t="inlineStr">
        <is>
          <t>Thank you for adding our collaboration with {collab_with} to your collection. Great choice!</t>
        </is>
      </c>
      <c r="C78" s="10">
        <f>SUBSTITUTE(B78,"{collab_with}",Inputs!$B$5)</f>
        <v/>
      </c>
    </row>
    <row r="79" ht="48" customHeight="1">
      <c r="A79" s="4" t="inlineStr">
        <is>
          <t>email · first-time survey · 2</t>
        </is>
      </c>
      <c r="B79" s="8" t="inlineStr">
        <is>
          <t>I'm {advisor}, an art advisor at Avant Arte. I'm here to connect collectors with artists by making suggestions, answering questions and offering early access to our collaborations.</t>
        </is>
      </c>
      <c r="C79" s="10">
        <f>SUBSTITUTE(B79,"{advisor}",Inputs!$B$24)</f>
        <v/>
      </c>
    </row>
    <row r="80" ht="32" customHeight="1">
      <c r="A80" s="4" t="inlineStr">
        <is>
          <t>email · first-time survey · 3</t>
        </is>
      </c>
      <c r="B80" s="8" t="inlineStr">
        <is>
          <t>If you have two minutes to complete a short survey about your collecting journey to date, your responses will help guide my recommendations.</t>
        </is>
      </c>
      <c r="C80" s="10">
        <f>B80</f>
        <v/>
      </c>
    </row>
    <row r="81" ht="16" customHeight="1">
      <c r="A81" s="4" t="inlineStr">
        <is>
          <t>email · first-time survey · 4</t>
        </is>
      </c>
      <c r="B81" s="8" t="inlineStr">
        <is>
          <t>Any questions? Reply to this email.</t>
        </is>
      </c>
      <c r="C81" s="10">
        <f>B81</f>
        <v/>
      </c>
    </row>
    <row r="82" ht="48" customHeight="1">
      <c r="A82" s="4" t="inlineStr">
        <is>
          <t>email · non-purchaser survey · 1</t>
        </is>
      </c>
      <c r="B82" s="8" t="inlineStr">
        <is>
          <t>As someone who registered for updates but ultimately decided not to enter the draw for our collaboration with {collab_with}, we'd love your feedback.</t>
        </is>
      </c>
      <c r="C82" s="10">
        <f>SUBSTITUTE(B82,"{collab_with}",Inputs!$B$5)</f>
        <v/>
      </c>
    </row>
    <row r="83" ht="32" customHeight="1">
      <c r="A83" s="4" t="inlineStr">
        <is>
          <t>email · non-purchaser survey · 2</t>
        </is>
      </c>
      <c r="B83" s="8" t="inlineStr">
        <is>
          <t>This two-minute survey will guide our future collaborations and help us recommend the right artists and editions for your collection.</t>
        </is>
      </c>
      <c r="C83" s="10">
        <f>B83</f>
        <v/>
      </c>
    </row>
    <row r="84" ht="48" customHeight="1">
      <c r="A84" s="4" t="inlineStr">
        <is>
          <t>email · non-purchaser survey · 3</t>
        </is>
      </c>
      <c r="B84" s="8" t="inlineStr">
        <is>
          <t>As a thank you for taking part in the survey and helping us improve the collector experience, you'll be entered into a draw to win a €500 Avant Arte gift card.</t>
        </is>
      </c>
      <c r="C84" s="10">
        <f>B84</f>
        <v/>
      </c>
    </row>
    <row r="85" ht="16" customHeight="1">
      <c r="A85" s="4" t="inlineStr">
        <is>
          <t>email · non-purchaser survey · terms</t>
        </is>
      </c>
      <c r="B85" s="8" t="inlineStr">
        <is>
          <t>You can read the terms here.</t>
        </is>
      </c>
      <c r="C85" s="10">
        <f>B85</f>
        <v/>
      </c>
    </row>
    <row r="86">
      <c r="A86" s="3" t="inlineStr">
        <is>
          <t>EMAILS · monthly preview</t>
        </is>
      </c>
    </row>
    <row r="87" ht="16" customHeight="1">
      <c r="A87" s="4" t="inlineStr">
        <is>
          <t>email · monthly preview · opener</t>
        </is>
      </c>
      <c r="B87" s="8" t="inlineStr">
        <is>
          <t>From {collab_with} comes {work_intro}{support}.</t>
        </is>
      </c>
      <c r="C87" s="10">
        <f>SUBSTITUTE(SUBSTITUTE(SUBSTITUTE(B87,"{collab_with}",Inputs!$B$5),"{work_intro}",Inputs!$B$54),"{support}",Inputs!$B$55)</f>
        <v/>
      </c>
    </row>
    <row r="88" ht="32" customHeight="1">
      <c r="A88" s="4" t="inlineStr">
        <is>
          <t>email · monthly preview · when, draw</t>
        </is>
      </c>
      <c r="B88" s="8" t="inlineStr">
        <is>
          <t>The edition will be allocated by a randomised draw, which closes at {close_time} on {close_date}.</t>
        </is>
      </c>
      <c r="C88" s="10">
        <f>SUBSTITUTE(SUBSTITUTE(B88,"{close_date}",Inputs!$B$70),"{close_time}",Inputs!$B$71)</f>
        <v/>
      </c>
    </row>
    <row r="89" ht="32" customHeight="1">
      <c r="A89" s="4" t="inlineStr">
        <is>
          <t>email · monthly preview · when, timed</t>
        </is>
      </c>
      <c r="B89" s="8" t="inlineStr">
        <is>
          <t>The edition will be available to collect for {window} only, from {launch_time} on {launch_weekday}, {launch_date_dd}.</t>
        </is>
      </c>
      <c r="C89" s="10">
        <f>SUBSTITUTE(SUBSTITUTE(SUBSTITUTE(SUBSTITUTE(B89,"{window}",Inputs!$B$19),"{launch_time}",Inputs!$B$67),"{launch_weekday}",Inputs!$B$68),"{launch_date_dd}",Inputs!$B$69)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96" customWidth="1" min="13" max="13"/>
    <col width="11" customWidth="1" min="14" max="14"/>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Full email, ready to paste</t>
        </is>
      </c>
      <c r="N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IF(D4&lt;&gt;"yes",D4,IF(E4="","","Subject: "&amp;E4)&amp;IF(F4="","",CHAR(10)&amp;"Preview: "&amp;F4)&amp;IF(G4="","",CHAR(10)&amp;"Kicker: "&amp;G4)&amp;IF(H4="","",CHAR(10)&amp;"Headline: "&amp;H4)&amp;IF(I4="","",IF(E4&amp;F4&amp;G4&amp;H4="","",CHAR(10)&amp;CHAR(10))&amp;I4)&amp;IF(J4="","",CHAR(10)&amp;CHAR(10)&amp;"CTA: "&amp;J4)&amp;IF(K4="","",CHAR(10)&amp;CHAR(10)&amp;"Card: "&amp;K4)&amp;IF(L4="","",CHAR(10)&amp;CHAR(10)&amp;"Quote: "&amp;L4))</f>
        <v/>
      </c>
      <c r="N4" s="11">
        <f>LEN(M4)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IF(D5&lt;&gt;"yes",D5,IF(E5="","","Subject: "&amp;E5)&amp;IF(F5="","",CHAR(10)&amp;"Preview: "&amp;F5)&amp;IF(G5="","",CHAR(10)&amp;"Kicker: "&amp;G5)&amp;IF(H5="","",CHAR(10)&amp;"Headline: "&amp;H5)&amp;IF(I5="","",IF(E5&amp;F5&amp;G5&amp;H5="","",CHAR(10)&amp;CHAR(10))&amp;I5)&amp;IF(J5="","",CHAR(10)&amp;CHAR(10)&amp;"CTA: "&amp;J5)&amp;IF(K5="","",CHAR(10)&amp;CHAR(10)&amp;"Card: "&amp;K5)&amp;IF(L5="","",CHAR(10)&amp;CHAR(10)&amp;"Quote: "&amp;L5))</f>
        <v/>
      </c>
      <c r="N5" s="11">
        <f>LEN(M5)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IF(D6&lt;&gt;"yes",D6,IF(E6="","","Subject: "&amp;E6)&amp;IF(F6="","",CHAR(10)&amp;"Preview: "&amp;F6)&amp;IF(G6="","",CHAR(10)&amp;"Kicker: "&amp;G6)&amp;IF(H6="","",CHAR(10)&amp;"Headline: "&amp;H6)&amp;IF(I6="","",IF(E6&amp;F6&amp;G6&amp;H6="","",CHAR(10)&amp;CHAR(10))&amp;I6)&amp;IF(J6="","",CHAR(10)&amp;CHAR(10)&amp;"CTA: "&amp;J6)&amp;IF(K6="","",CHAR(10)&amp;CHAR(10)&amp;"Card: "&amp;K6)&amp;IF(L6="","",CHAR(10)&amp;CHAR(10)&amp;"Quote: "&amp;L6))</f>
        <v/>
      </c>
      <c r="N6" s="11">
        <f>LEN(M6)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IF(D7&lt;&gt;"yes",D7,IF(E7="","","Subject: "&amp;E7)&amp;IF(F7="","",CHAR(10)&amp;"Preview: "&amp;F7)&amp;IF(G7="","",CHAR(10)&amp;"Kicker: "&amp;G7)&amp;IF(H7="","",CHAR(10)&amp;"Headline: "&amp;H7)&amp;IF(I7="","",IF(E7&amp;F7&amp;G7&amp;H7="","",CHAR(10)&amp;CHAR(10))&amp;I7)&amp;IF(J7="","",CHAR(10)&amp;CHAR(10)&amp;"CTA: "&amp;J7)&amp;IF(K7="","",CHAR(10)&amp;CHAR(10)&amp;"Card: "&amp;K7)&amp;IF(L7="","",CHAR(10)&amp;CHAR(10)&amp;"Quote: "&amp;L7))</f>
        <v/>
      </c>
      <c r="N7" s="11">
        <f>LEN(M7)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IF(D8&lt;&gt;"yes",D8,IF(E8="","","Subject: "&amp;E8)&amp;IF(F8="","",CHAR(10)&amp;"Preview: "&amp;F8)&amp;IF(G8="","",CHAR(10)&amp;"Kicker: "&amp;G8)&amp;IF(H8="","",CHAR(10)&amp;"Headline: "&amp;H8)&amp;IF(I8="","",IF(E8&amp;F8&amp;G8&amp;H8="","",CHAR(10)&amp;CHAR(10))&amp;I8)&amp;IF(J8="","",CHAR(10)&amp;CHAR(10)&amp;"CTA: "&amp;J8)&amp;IF(K8="","",CHAR(10)&amp;CHAR(10)&amp;"Card: "&amp;K8)&amp;IF(L8="","",CHAR(10)&amp;CHAR(10)&amp;"Quote: "&amp;L8))</f>
        <v/>
      </c>
      <c r="N8" s="11">
        <f>LEN(M8)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IF(D9&lt;&gt;"yes",D9,IF(E9="","","Subject: "&amp;E9)&amp;IF(F9="","",CHAR(10)&amp;"Preview: "&amp;F9)&amp;IF(G9="","",CHAR(10)&amp;"Kicker: "&amp;G9)&amp;IF(H9="","",CHAR(10)&amp;"Headline: "&amp;H9)&amp;IF(I9="","",IF(E9&amp;F9&amp;G9&amp;H9="","",CHAR(10)&amp;CHAR(10))&amp;I9)&amp;IF(J9="","",CHAR(10)&amp;CHAR(10)&amp;"CTA: "&amp;J9)&amp;IF(K9="","",CHAR(10)&amp;CHAR(10)&amp;"Card: "&amp;K9)&amp;IF(L9="","",CHAR(10)&amp;CHAR(10)&amp;"Quote: "&amp;L9))</f>
        <v/>
      </c>
      <c r="N9" s="11">
        <f>LEN(M9)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f>
        <v/>
      </c>
      <c r="N10" s="11">
        <f>LEN(M10)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f>
        <v/>
      </c>
      <c r="N11" s="11">
        <f>LEN(M11)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IF($D12&lt;&gt;"yes","",Lines!$C$67)</f>
        <v/>
      </c>
      <c r="I12" s="11">
        <f>""</f>
        <v/>
      </c>
      <c r="J12" s="11">
        <f>IF($D12&lt;&gt;"yes","","Buy "&amp;Inputs!$B$49)</f>
        <v/>
      </c>
      <c r="K12" s="11">
        <f>""</f>
        <v/>
      </c>
      <c r="L12" s="11">
        <f>""</f>
        <v/>
      </c>
      <c r="M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f>
        <v/>
      </c>
      <c r="N12" s="11">
        <f>LEN(M12)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IF($D13&lt;&gt;"yes","",Lines!$C$68)</f>
        <v/>
      </c>
      <c r="I13" s="11">
        <f>IF($D13&lt;&gt;"yes","",(Lines!$C$69&amp;IF(Inputs!$B$36="","",CHAR(10)&amp;CHAR(10)&amp;Inputs!$B$36)&amp;IF(Lines!$C$70="","",CHAR(10)&amp;CHAR(10)&amp;Lines!$C$70)&amp;IF(IF(Inputs!$B$26="","",Lines!$C$38)="","",CHAR(10)&amp;CHAR(10)&amp;IF(Inputs!$B$26="","",Lines!$C$38))))</f>
        <v/>
      </c>
      <c r="J13" s="11">
        <f>IF($D13&lt;&gt;"yes","","Buy "&amp;Inputs!$B$49)</f>
        <v/>
      </c>
      <c r="K13" s="11">
        <f>IF($D13&lt;&gt;"yes","",Inputs!$B$77)</f>
        <v/>
      </c>
      <c r="L13" s="11">
        <f>""</f>
        <v/>
      </c>
      <c r="M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f>
        <v/>
      </c>
      <c r="N13" s="11">
        <f>LEN(M13)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$74&amp;IF(Inputs!$B$36="","",CHAR(10)&amp;CHAR(10)&amp;Inputs!$B$36)&amp;IF(Lines!$C$75="","",CHAR(10)&amp;CHAR(10)&amp;Lines!$C$75)),(Lines!$C$72&amp;IF(Lines!$C$73="","",CHAR(10)&amp;CHAR(10)&amp;Lines!$C$73)&amp;IF(IF(Inputs!$B$26="","",Lines!$C$38)="","",CHAR(10)&amp;CHAR(10)&amp;IF(Inputs!$B$26="","",Lines!$C$38)))))</f>
        <v/>
      </c>
      <c r="J14" s="11">
        <f>IF($D14&lt;&gt;"yes","",IF(Inputs!$B$18="draw","Enter the draw","Buy now"))</f>
        <v/>
      </c>
      <c r="K14" s="11">
        <f>IF($D14&lt;&gt;"yes","",Inputs!$B$77)</f>
        <v/>
      </c>
      <c r="L14" s="11">
        <f>""</f>
        <v/>
      </c>
      <c r="M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f>
        <v/>
      </c>
      <c r="N14" s="11">
        <f>LEN(M14)</f>
        <v/>
      </c>
    </row>
    <row r="15" ht="300" customHeight="1">
      <c r="A15" s="11" t="n">
        <v>12</v>
      </c>
      <c r="B15" s="11" t="inlineStr">
        <is>
          <t>First-time collector survey (LE)</t>
        </is>
      </c>
      <c r="C15" s="11" t="inlineStr">
        <is>
          <t>draw, after the draw closes</t>
        </is>
      </c>
      <c r="D15" s="11">
        <f>IF(Inputs!$B$18="draw","yes","(not used for a timed edition)")</f>
        <v/>
      </c>
      <c r="E15" s="11">
        <f>IF($D15&lt;&gt;"yes","",Lines!$C$77)</f>
        <v/>
      </c>
      <c r="F15" s="11">
        <f>""</f>
        <v/>
      </c>
      <c r="G15" s="11">
        <f>""</f>
        <v/>
      </c>
      <c r="H15" s="11">
        <f>""</f>
        <v/>
      </c>
      <c r="I15" s="11">
        <f>IF($D15&lt;&gt;"yes","",(Lines!$C$32&amp;IF(Lines!$C$78="","",CHAR(10)&amp;CHAR(10)&amp;Lines!$C$78)&amp;IF(Lines!$C$79="","",CHAR(10)&amp;CHAR(10)&amp;Lines!$C$79)&amp;IF(Lines!$C$80="","",CHAR(10)&amp;CHAR(10)&amp;Lines!$C$80)&amp;IF(Lines!$C$81="","",CHAR(10)&amp;CHAR(10)&amp;Lines!$C$81)))</f>
        <v/>
      </c>
      <c r="J15" s="11">
        <f>IF($D15&lt;&gt;"yes","","Complete survey")</f>
        <v/>
      </c>
      <c r="K15" s="11">
        <f>IF($D15&lt;&gt;"yes","",Inputs!$B$4)</f>
        <v/>
      </c>
      <c r="L15" s="11">
        <f>""</f>
        <v/>
      </c>
      <c r="M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f>
        <v/>
      </c>
      <c r="N15" s="11">
        <f>LEN(M15)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IF($D16&lt;&gt;"yes","",(Lines!$C$82&amp;IF(Lines!$C$83="","",CHAR(10)&amp;CHAR(10)&amp;Lines!$C$83)&amp;IF(Lines!$C$84="","",CHAR(10)&amp;CHAR(10)&amp;Lines!$C$84)&amp;IF(Lines!$C$85="","",CHAR(10)&amp;CHAR(10)&amp;Lines!$C$85)))</f>
        <v/>
      </c>
      <c r="J16" s="11">
        <f>IF($D16&lt;&gt;"yes","","Complete survey")</f>
        <v/>
      </c>
      <c r="K16" s="11">
        <f>""</f>
        <v/>
      </c>
      <c r="L16" s="11">
        <f>""</f>
        <v/>
      </c>
      <c r="M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f>
        <v/>
      </c>
      <c r="N16" s="11">
        <f>LEN(M16)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$87&amp;IF(Inputs!$B$36="","",CHAR(10)&amp;CHAR(10)&amp;Inputs!$B$36)&amp;IF(Inputs!$B$64="","",CHAR(10)&amp;CHAR(10)&amp;Inputs!$B$64)&amp;IF(IF(Inputs!$B$18="draw",Lines!$C$88,Lines!$C$89)="","",CHAR(10)&amp;CHAR(10)&amp;IF(Inputs!$B$18="draw",Lines!$C$88,Lines!$C$89))))</f>
        <v/>
      </c>
      <c r="J17" s="11">
        <f>""</f>
        <v/>
      </c>
      <c r="K17" s="11">
        <f>""</f>
        <v/>
      </c>
      <c r="L17" s="11">
        <f>""</f>
        <v/>
      </c>
      <c r="M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f>
        <v/>
      </c>
      <c r="N17" s="11">
        <f>LEN(M17)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2026-09-18T15:52:12Z</dcterms:created>
  <dcterms:modified xsi:type="dcterms:W3CDTF">2026-09-18T15:52:12Z</dcterms:modified>
</cp:coreProperties>
</file>