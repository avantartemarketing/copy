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Robert Longo</t>
        </is>
      </c>
      <c r="C4" s="2" t="inlineStr">
        <is>
          <t>full name: the works are 'by' this name</t>
        </is>
      </c>
    </row>
    <row r="5">
      <c r="A5" s="4" t="inlineStr">
        <is>
          <t>collab_with</t>
        </is>
      </c>
      <c r="B5" s="5" t="inlineStr">
        <is>
          <t>Brooklyn-born artist Robert Longo</t>
        </is>
      </c>
      <c r="C5" s="2" t="inlineStr">
        <is>
          <t>the words after 'collaboration with': usually the name, or the estate</t>
        </is>
      </c>
    </row>
    <row r="6">
      <c r="A6" s="4" t="inlineStr">
        <is>
          <t>handle</t>
        </is>
      </c>
      <c r="B6" s="5" t="inlineStr">
        <is>
          <t>robert_longo_studio</t>
        </is>
      </c>
      <c r="C6" s="2" t="inlineStr">
        <is>
          <t>Instagram handle, blank if none</t>
        </is>
      </c>
    </row>
    <row r="7">
      <c r="A7" s="4" t="inlineStr">
        <is>
          <t>x_handle</t>
        </is>
      </c>
      <c r="B7" s="5" t="inlineStr"/>
      <c r="C7" s="2" t="inlineStr">
        <is>
          <t>X (Twitter) handle, blank if none</t>
        </is>
      </c>
    </row>
    <row r="8">
      <c r="A8" s="4" t="inlineStr">
        <is>
          <t>link</t>
        </is>
      </c>
      <c r="B8" s="5" t="inlineStr">
        <is>
          <t>https://avantarte.co/robert-longo</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latest</t>
        </is>
      </c>
      <c r="C10" s="2" t="inlineStr">
        <is>
          <t>debut, latest or second</t>
        </is>
      </c>
    </row>
    <row r="11">
      <c r="A11" s="4" t="inlineStr">
        <is>
          <t>title_1</t>
        </is>
      </c>
      <c r="B11" s="5" t="inlineStr">
        <is>
          <t>Untitled (Sandy, from the series “Men in the Cities”)</t>
        </is>
      </c>
      <c r="C11" s="2" t="inlineStr">
        <is>
          <t>exactly as it appears; the set's one title if it has one; for untitled works from a named series, the series name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is_series</t>
        </is>
      </c>
      <c r="B14" s="5" t="inlineStr">
        <is>
          <t>no</t>
        </is>
      </c>
      <c r="C14" s="2" t="inlineStr">
        <is>
          <t>yes only for untitled works from a named series</t>
        </is>
      </c>
    </row>
    <row r="15">
      <c r="A15" s="4" t="inlineStr">
        <is>
          <t>edition_phrase</t>
        </is>
      </c>
      <c r="B15" s="5" t="inlineStr">
        <is>
          <t>a new limited edition silkscreen print</t>
        </is>
      </c>
      <c r="C15" s="2" t="inlineStr">
        <is>
          <t>e.g. a new limited edition print; a quartet of new limited edition embroideries; a new limited edition print in four colourways</t>
        </is>
      </c>
    </row>
    <row r="16">
      <c r="A16" s="4" t="inlineStr">
        <is>
          <t>works</t>
        </is>
      </c>
      <c r="B16" s="5" t="n">
        <v>1</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draw</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46272.66666666666</v>
      </c>
      <c r="C20" s="2" t="inlineStr">
        <is>
          <t>date and time the window opens, or the draw opens (UK)</t>
        </is>
      </c>
    </row>
    <row r="21">
      <c r="A21" s="4" t="inlineStr">
        <is>
          <t>closes_at</t>
        </is>
      </c>
      <c r="B21" s="6" t="n">
        <v>46294.70833333334</v>
      </c>
      <c r="C21" s="2" t="inlineStr">
        <is>
          <t>date and time the window or draw closes (UK)</t>
        </is>
      </c>
    </row>
    <row r="22">
      <c r="A22" s="4" t="inlineStr">
        <is>
          <t>beneficiary</t>
        </is>
      </c>
      <c r="B22" s="5" t="inlineStr">
        <is>
          <t>Vote.org</t>
        </is>
      </c>
      <c r="C22" s="2" t="inlineStr">
        <is>
          <t>as it reads mid-sentence; blank if none</t>
        </is>
      </c>
    </row>
    <row r="23">
      <c r="A23" s="4" t="inlineStr">
        <is>
          <t>beneficiary_handle</t>
        </is>
      </c>
      <c r="B23" s="5" t="inlineStr">
        <is>
          <t>votedotorg</t>
        </is>
      </c>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377-985</t>
        </is>
      </c>
      <c r="C25" s="2" t="inlineStr">
        <is>
          <t>draw releases</t>
        </is>
      </c>
    </row>
    <row r="26">
      <c r="A26" s="4" t="inlineStr">
        <is>
          <t>framing_code</t>
        </is>
      </c>
      <c r="B26" s="5" t="inlineStr">
        <is>
          <t>Longo-0926-10</t>
        </is>
      </c>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Signed by the artist</t>
        </is>
      </c>
      <c r="C28" s="2" t="inlineStr">
        <is>
          <t>the standard three; clear a cell to drop it</t>
        </is>
      </c>
    </row>
    <row r="29">
      <c r="A29" s="4" t="inlineStr">
        <is>
          <t>feature_2</t>
        </is>
      </c>
      <c r="B29" s="5" t="inlineStr">
        <is>
          <t>Individually numbered</t>
        </is>
      </c>
      <c r="C29" s="2" t="inlineStr"/>
    </row>
    <row r="30">
      <c r="A30" s="4" t="inlineStr">
        <is>
          <t>feature_3</t>
        </is>
      </c>
      <c r="B30" s="5" t="inlineStr">
        <is>
          <t>Free worldwide shipping</t>
        </is>
      </c>
      <c r="C30" s="2" t="inlineStr"/>
    </row>
    <row r="31">
      <c r="A31" s="4" t="inlineStr">
        <is>
          <t>feature_4</t>
        </is>
      </c>
      <c r="B31" s="5" t="inlineStr">
        <is>
          <t>Same dimensions as Avant Arte's edition of Eric</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64" customHeight="1">
      <c r="A35" s="4" t="inlineStr">
        <is>
          <t>bio</t>
        </is>
      </c>
      <c r="B35" s="8" t="inlineStr">
        <is>
          <t>Robert Longo is a New York artist known for monumental charcoal drawings that take their images from film, news and mass media. Men in the Cities, begun in 1979, made him a defining figure of the Pictures Generation, and he has long maintained that making art is a political act.</t>
        </is>
      </c>
      <c r="C35" s="9" t="inlineStr">
        <is>
          <t>2 to 3 sentences on the artist, third person, no handle. Coming Soon post only.</t>
        </is>
      </c>
    </row>
    <row r="36" ht="48" customHeight="1">
      <c r="A36" s="4" t="inlineStr">
        <is>
          <t>hook</t>
        </is>
      </c>
      <c r="B36" s="8" t="inlineStr">
        <is>
          <t>Sandy is one of the best-known figures from Men in the Cities, and this is only the second time the series has been editioned in silkscreen, following the release of Eric last year.</t>
        </is>
      </c>
      <c r="C36" s="9" t="inlineStr">
        <is>
          <t>2 to 3 sentences about the work. Write it as editorially as you like; the one test is that it must read as well in the middle of an email as at the top of a post. Self-contained, no rhetorical question. It reaches 16 slots, so it is the one fragment that must stand alone.</t>
        </is>
      </c>
    </row>
    <row r="37" ht="32" customHeight="1">
      <c r="A37" s="4" t="inlineStr">
        <is>
          <t>qualifier</t>
        </is>
      </c>
      <c r="B37" s="8" t="inlineStr"/>
      <c r="C37" s="9" t="inlineStr">
        <is>
          <t>a few words after the edition phrase in the email opener, e.g. spanning five decades of the artist's career. Ten words at most, a phrase not a sentence, no we or our, no artist name. Ignored when there is a beneficiary: 'released in support of X' fills the same opening. With several works the title drops out of this line, and that is what it is for.</t>
        </is>
      </c>
    </row>
    <row r="38" ht="32" customHeight="1">
      <c r="A38" s="4" t="inlineStr">
        <is>
          <t>making</t>
        </is>
      </c>
      <c r="B38" s="8" t="inlineStr">
        <is>
          <t>To craft the edition, printmakers at Make-Ready worked from the original Kodak transparencies, creating a high fidelity silkscreen of the original piece.</t>
        </is>
      </c>
      <c r="C38" s="9" t="inlineStr">
        <is>
          <t>one sentence on how the edition was made; write 'printmakers at Make-Ready' and the sheet adds 'our'.</t>
        </is>
      </c>
    </row>
    <row r="39" ht="32" customHeight="1">
      <c r="A39" s="4" t="inlineStr">
        <is>
          <t>card_line_1</t>
        </is>
      </c>
      <c r="B39" s="8" t="inlineStr">
        <is>
          <t>One of the most iconic figures from a truly iconic series, Sandy is a striking exploration of urban alienation.</t>
        </is>
      </c>
      <c r="C39" s="9" t="inlineStr">
        <is>
          <t>one sentence on the first work, 15 to 30 words, under its card in six emails. With several works, say something different about each: the edition is described above the cards, so do not call each one a limited edition print.</t>
        </is>
      </c>
    </row>
    <row r="40" ht="32" customHeight="1">
      <c r="A40" s="4" t="inlineStr">
        <is>
          <t>card_line_2</t>
        </is>
      </c>
      <c r="B40" s="8" t="inlineStr"/>
      <c r="C40" s="9" t="inlineStr">
        <is>
          <t>the second titled work; blank otherwise</t>
        </is>
      </c>
    </row>
    <row r="41" ht="32" customHeight="1">
      <c r="A41" s="4" t="inlineStr">
        <is>
          <t>card_line_3</t>
        </is>
      </c>
      <c r="B41" s="8" t="inlineStr"/>
      <c r="C41" s="9" t="inlineStr">
        <is>
          <t>the third; blank otherwise</t>
        </is>
      </c>
    </row>
    <row r="42" ht="32" customHeight="1">
      <c r="A42" s="4" t="inlineStr">
        <is>
          <t>quote</t>
        </is>
      </c>
      <c r="B42" s="8" t="inlineStr">
        <is>
          <t>It was really important to me that as I got older as an artist, I could still make work that meant something. I wanna make work that matters.</t>
        </is>
      </c>
      <c r="C42" s="9" t="inlineStr">
        <is>
          <t>verbatim, a complete sentence, or blank</t>
        </is>
      </c>
    </row>
    <row r="44">
      <c r="A44" s="7" t="inlineStr">
        <is>
          <t>Derived (formulas, do not edit)</t>
        </is>
      </c>
    </row>
    <row r="45">
      <c r="A45" s="4" t="inlineStr">
        <is>
          <t>named</t>
        </is>
      </c>
      <c r="B45" s="10">
        <f>$B$4&amp;IF($B$6="",""," (@"&amp;$B$6&amp;")")</f>
        <v/>
      </c>
    </row>
    <row r="46">
      <c r="A46" s="4" t="inlineStr">
        <is>
          <t>named_x</t>
        </is>
      </c>
      <c r="B46" s="10">
        <f>$B$4&amp;IF($B$7="",""," (@"&amp;$B$7&amp;")")</f>
        <v/>
      </c>
    </row>
    <row r="47">
      <c r="A47" s="4" t="inlineStr">
        <is>
          <t>collab_x</t>
        </is>
      </c>
      <c r="B47" s="10">
        <f>IF($B$5=$B$4,$B$46,$B$5)</f>
        <v/>
      </c>
    </row>
    <row r="48">
      <c r="A48" s="4" t="inlineStr">
        <is>
          <t>a_unit</t>
        </is>
      </c>
      <c r="B48" s="10">
        <f>IF(OR(LEFT($B$17,1)="a",LEFT($B$17,1)="e",LEFT($B$17,1)="i",LEFT($B$17,1)="o",LEFT($B$17,1)="u"),"an ","a ")&amp;$B$17</f>
        <v/>
      </c>
    </row>
    <row r="49">
      <c r="A49" s="4" t="inlineStr">
        <is>
          <t>work</t>
        </is>
      </c>
      <c r="B49" s="10">
        <f>IF($B$14="yes","the "&amp;$B$11&amp;" series",IF($B$12="","‘"&amp;$B$11&amp;"’",IF($B$13="","‘"&amp;$B$11&amp;"’ and ‘"&amp;$B$12&amp;"’","‘"&amp;$B$11&amp;"’, ‘"&amp;$B$12&amp;"’ and ‘"&amp;$B$13&amp;"’")))</f>
        <v/>
      </c>
    </row>
    <row r="50">
      <c r="A50" s="4" t="inlineStr">
        <is>
          <t>Work</t>
        </is>
      </c>
      <c r="B50" s="10">
        <f>UPPER(LEFT($B$49,1))&amp;MID($B$49,2,999)</f>
        <v/>
      </c>
    </row>
    <row r="51">
      <c r="A51" s="4" t="inlineStr">
        <is>
          <t>work_email</t>
        </is>
      </c>
      <c r="B51" s="10">
        <f>IF($B$14="yes","the "&amp;$B$11&amp;" series",IF($B$12="",$B$11,IF($B$13="",$B$11&amp;" and "&amp;$B$12,$B$11&amp;", "&amp;$B$12&amp;" and "&amp;$B$13)))</f>
        <v/>
      </c>
    </row>
    <row r="52">
      <c r="A52" s="4" t="inlineStr">
        <is>
          <t>Work_email</t>
        </is>
      </c>
      <c r="B52" s="10">
        <f>UPPER(LEFT($B$51,1))&amp;MID($B$51,2,999)</f>
        <v/>
      </c>
    </row>
    <row r="53">
      <c r="A53" s="4" t="inlineStr">
        <is>
          <t>work_intro</t>
        </is>
      </c>
      <c r="B53" s="10">
        <f>IF($B$16=1,$B$11&amp;", ","")&amp;$B$15&amp;IF(OR($B$37="",$B$54&lt;&gt;""),"",IF(LEFT($B$37,1)=",",""," ")&amp;$B$37)</f>
        <v/>
      </c>
    </row>
    <row r="54">
      <c r="A54" s="4" t="inlineStr">
        <is>
          <t>support</t>
        </is>
      </c>
      <c r="B54" s="10">
        <f>IF(OR($B$22="",$B$57),"",", released in support of "&amp;$B$22)</f>
        <v/>
      </c>
    </row>
    <row r="55">
      <c r="A55" s="4" t="inlineStr">
        <is>
          <t>beneficiary_tagged</t>
        </is>
      </c>
      <c r="B55" s="10">
        <f>IF($B$22="","",$B$22&amp;IF($B$23="",""," (@"&amp;$B$23&amp;")"))</f>
        <v/>
      </c>
    </row>
    <row r="56" ht="80" customHeight="1">
      <c r="A56" s="4" t="inlineStr">
        <is>
          <t>bio_tagged</t>
        </is>
      </c>
      <c r="B56" s="10">
        <f>IF($B$6="",$B$35,SUBSTITUTE($B$35,$B$4,$B$45,1))</f>
        <v/>
      </c>
    </row>
    <row r="57">
      <c r="A57" s="4" t="inlineStr">
        <is>
          <t>hook_names_beneficiary</t>
        </is>
      </c>
      <c r="B57" s="10">
        <f>IF($B$22="",FALSE,ISNUMBER(SEARCH($B$22,$B$36)))</f>
        <v/>
      </c>
    </row>
    <row r="58">
      <c r="A58" s="4" t="inlineStr">
        <is>
          <t>features</t>
        </is>
      </c>
      <c r="B58" s="10">
        <f>$B$28&amp;IF($B$29="","",". "&amp;$B$29)&amp;IF($B$30="","",". "&amp;$B$30)&amp;IF($B$31="","",". "&amp;$B$31)&amp;IF($B$32="","",". "&amp;$B$32)&amp;"."</f>
        <v/>
      </c>
    </row>
    <row r="59" ht="60" customHeight="1">
      <c r="A59" s="4" t="inlineStr">
        <is>
          <t>features_list</t>
        </is>
      </c>
      <c r="B59" s="10">
        <f>"· "&amp;$B$28&amp;IF($B$29="","",CHAR(10)&amp;"· "&amp;$B$29)&amp;IF($B$30="","",CHAR(10)&amp;"· "&amp;$B$30)&amp;IF($B$31="","",CHAR(10)&amp;"· "&amp;$B$31)&amp;IF($B$32="","",CHAR(10)&amp;"· "&amp;$B$32)</f>
        <v/>
      </c>
    </row>
    <row r="60" ht="70" customHeight="1">
      <c r="A60" s="4" t="inlineStr">
        <is>
          <t>features_list_support</t>
        </is>
      </c>
      <c r="B60" s="10">
        <f>$B$59&amp;IF(OR($B$22="",$B$57),"",CHAR(10)&amp;"· Released in support of "&amp;$B$22)</f>
        <v/>
      </c>
    </row>
    <row r="61">
      <c r="A61" s="4" t="inlineStr">
        <is>
          <t>making_ours</t>
        </is>
      </c>
      <c r="B61" s="10">
        <f>SUBSTITUTE($B$38,"printmakers at Make-Ready","our printmakers at Make-Ready")</f>
        <v/>
      </c>
    </row>
    <row r="62">
      <c r="A62" s="4" t="inlineStr">
        <is>
          <t>making_ours_tagged</t>
        </is>
      </c>
      <c r="B62" s="10">
        <f>SUBSTITUTE($B$38,"printmakers at Make-Ready","our printmakers at Make-Ready (@make__ready)")</f>
        <v/>
      </c>
    </row>
    <row r="63">
      <c r="A63" s="4" t="inlineStr">
        <is>
          <t>launch_date</t>
        </is>
      </c>
      <c r="B63" s="10">
        <f>TEXT($B$20,"d mmmm")</f>
        <v/>
      </c>
    </row>
    <row r="64">
      <c r="A64" s="4" t="inlineStr">
        <is>
          <t>launch_time</t>
        </is>
      </c>
      <c r="B64" s="10">
        <f>TEXT($B$20,"hh:mm")&amp;" UK time"</f>
        <v/>
      </c>
    </row>
    <row r="65">
      <c r="A65" s="4" t="inlineStr">
        <is>
          <t>launch_weekday</t>
        </is>
      </c>
      <c r="B65" s="10">
        <f>TEXT($B$20,"dddd")</f>
        <v/>
      </c>
    </row>
    <row r="66">
      <c r="A66" s="4" t="inlineStr">
        <is>
          <t>launch_date_dd</t>
        </is>
      </c>
      <c r="B66" s="10">
        <f>TEXT($B$20,"dd mmmm")</f>
        <v/>
      </c>
    </row>
    <row r="67">
      <c r="A67" s="4" t="inlineStr">
        <is>
          <t>close_date</t>
        </is>
      </c>
      <c r="B67" s="10">
        <f>TEXT($B$21,"d mmmm")</f>
        <v/>
      </c>
    </row>
    <row r="68">
      <c r="A68" s="4" t="inlineStr">
        <is>
          <t>close_time</t>
        </is>
      </c>
      <c r="B68" s="10">
        <f>TEXT($B$21,"hh:mm")&amp;" UK time"</f>
        <v/>
      </c>
    </row>
    <row r="69">
      <c r="A69" s="4" t="inlineStr">
        <is>
          <t>close_weekday</t>
        </is>
      </c>
      <c r="B69" s="10">
        <f>TEXT($B$21,"dddd")</f>
        <v/>
      </c>
    </row>
    <row r="70">
      <c r="A70" s="4" t="inlineStr">
        <is>
          <t>close_date_dd</t>
        </is>
      </c>
      <c r="B70" s="10">
        <f>TEXT($B$21,"dd mmmm")</f>
        <v/>
      </c>
    </row>
    <row r="71">
      <c r="A71" s="4" t="inlineStr">
        <is>
          <t>collect_phrase</t>
        </is>
      </c>
      <c r="B71" s="10">
        <f>SUBSTITUTE($B$15," new "," ",1)</f>
        <v/>
      </c>
    </row>
    <row r="72">
      <c r="A72" s="4" t="inlineStr">
        <is>
          <t>edition_phrase_cap</t>
        </is>
      </c>
      <c r="B72" s="10">
        <f>UPPER(LEFT($B$15,1))&amp;MID($B$15,2,999)</f>
        <v/>
      </c>
    </row>
    <row r="73">
      <c r="A73" s="4" t="inlineStr">
        <is>
          <t>window_cap</t>
        </is>
      </c>
      <c r="B73" s="10">
        <f>UPPER(LEFT($B$19,1))&amp;MID($B$19,2,999)</f>
        <v/>
      </c>
    </row>
    <row r="74">
      <c r="A74" s="4" t="inlineStr">
        <is>
          <t>card</t>
        </is>
      </c>
      <c r="B74" s="10">
        <f>IF($B$14="yes","Untitled",$B$11)&amp;IF($B$39="","",CHAR(10)&amp;$B$39)&amp;IF($B$12="","",CHAR(10)&amp;CHAR(10)&amp;"Card: "&amp;$B$12&amp;IF($B$40="","",CHAR(10)&amp;$B$40))&amp;IF($B$13="","",CHAR(10)&amp;CHAR(10)&amp;"Card: "&amp;$B$13&amp;IF($B$41="","",CHAR(10)&amp;$B$41))</f>
        <v/>
      </c>
    </row>
    <row r="75">
      <c r="A75" s="4" t="inlineStr">
        <is>
          <t>quote_line</t>
        </is>
      </c>
      <c r="B75" s="10">
        <f>IF($B$42="","","“"&amp;$B$42&amp;"” – "&amp;$B$4)</f>
        <v/>
      </c>
    </row>
    <row r="76">
      <c r="A76" s="4" t="inlineStr">
        <is>
          <t>each_artwork</t>
        </is>
      </c>
      <c r="B76" s="10">
        <f>IF($B$16&gt;1," for each artwork","")</f>
        <v/>
      </c>
    </row>
    <row r="77">
      <c r="A77" s="4" t="inlineStr">
        <is>
          <t>work_word</t>
        </is>
      </c>
      <c r="B77" s="10">
        <f>IF($B$16&gt;1,"works","work")</f>
        <v/>
      </c>
    </row>
    <row r="78">
      <c r="A78" s="4" t="inlineStr">
        <is>
          <t>add_what</t>
        </is>
      </c>
      <c r="B78" s="10">
        <f>IF($B$16&gt;1,$B$48,$B$51)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SUBSTITUTE(SUBSTITUTE(SUBSTITUTE(B6,"{named}",Inputs!$B$45),"{work}",Inputs!$B$49),"{edition_phrase}",Inputs!$B$15)</f>
        <v/>
      </c>
    </row>
    <row r="7" ht="16" customHeight="1">
      <c r="A7" s="4" t="inlineStr">
        <is>
          <t>post · announce · status, series</t>
        </is>
      </c>
      <c r="B7" s="8" t="inlineStr">
        <is>
          <t>Announcing {edition_phrase} by {named}, from {work}.</t>
        </is>
      </c>
      <c r="C7" s="10">
        <f>SUBSTITUTE(SUBSTITUTE(SUBSTITUTE(B7,"{named}",Inputs!$B$45),"{work}",Inputs!$B$49),"{edition_phrase}",Inputs!$B$15)</f>
        <v/>
      </c>
    </row>
    <row r="8" ht="16" customHeight="1">
      <c r="A8" s="4" t="inlineStr">
        <is>
          <t>post · sustain · status</t>
        </is>
      </c>
      <c r="B8" s="8" t="inlineStr">
        <is>
          <t>A closer look at {work}, {edition_phrase} by {named}.</t>
        </is>
      </c>
      <c r="C8" s="10">
        <f>SUBSTITUTE(SUBSTITUTE(SUBSTITUTE(B8,"{named}",Inputs!$B$45),"{work}",Inputs!$B$49),"{edition_phrase}",Inputs!$B$15)</f>
        <v/>
      </c>
    </row>
    <row r="9" ht="16" customHeight="1">
      <c r="A9" s="4" t="inlineStr">
        <is>
          <t>post · artist's words · status</t>
        </is>
      </c>
      <c r="B9" s="8" t="inlineStr">
        <is>
          <t>“{quote}” – {artist}</t>
        </is>
      </c>
      <c r="C9" s="10">
        <f>SUBSTITUTE(SUBSTITUTE(B9,"{artist}",Inputs!$B$4),"{quote}",Inputs!$B$42)</f>
        <v/>
      </c>
    </row>
    <row r="10" ht="16" customHeight="1">
      <c r="A10" s="4" t="inlineStr">
        <is>
          <t>post · artist's words · second line</t>
        </is>
      </c>
      <c r="B10" s="8" t="inlineStr">
        <is>
          <t>{Work}, {edition_phrase} by {named}.</t>
        </is>
      </c>
      <c r="C10" s="10">
        <f>SUBSTITUTE(SUBSTITUTE(SUBSTITUTE(B10,"{named}",Inputs!$B$45),"{Work}",Inputs!$B$50),"{edition_phrase}",Inputs!$B$15)</f>
        <v/>
      </c>
    </row>
    <row r="11" ht="16" customHeight="1">
      <c r="A11" s="4" t="inlineStr">
        <is>
          <t>post · live · status</t>
        </is>
      </c>
      <c r="B11" s="8" t="inlineStr">
        <is>
          <t>{Work} by {named} is now available to collect, for {window} only.</t>
        </is>
      </c>
      <c r="C11" s="10">
        <f>SUBSTITUTE(SUBSTITUTE(SUBSTITUTE(B11,"{named}",Inputs!$B$45),"{Work}",Inputs!$B$50),"{window}",Inputs!$B$19)</f>
        <v/>
      </c>
    </row>
    <row r="12" ht="16" customHeight="1">
      <c r="A12" s="4" t="inlineStr">
        <is>
          <t>post · still time · status</t>
        </is>
      </c>
      <c r="B12" s="8" t="inlineStr">
        <is>
          <t>There's still time to collect {work} by {named}.</t>
        </is>
      </c>
      <c r="C12" s="10">
        <f>SUBSTITUTE(SUBSTITUTE(B12,"{named}",Inputs!$B$45),"{work}",Inputs!$B$49)</f>
        <v/>
      </c>
    </row>
    <row r="13" ht="16" customHeight="1">
      <c r="A13" s="4" t="inlineStr">
        <is>
          <t>post · last chance · status</t>
        </is>
      </c>
      <c r="B13" s="8" t="inlineStr">
        <is>
          <t>Last chance to collect {work} by {named}.</t>
        </is>
      </c>
      <c r="C13" s="10">
        <f>SUBSTITUTE(SUBSTITUTE(B13,"{named}",Inputs!$B$45),"{work}",Inputs!$B$49)</f>
        <v/>
      </c>
    </row>
    <row r="14" ht="16" customHeight="1">
      <c r="A14" s="4" t="inlineStr">
        <is>
          <t>post · last chance · status, draw</t>
        </is>
      </c>
      <c r="B14" s="8" t="inlineStr">
        <is>
          <t>Last chance to enter the draw for {work} by {named}.</t>
        </is>
      </c>
      <c r="C14" s="10">
        <f>SUBSTITUTE(SUBSTITUTE(B14,"{named}",Inputs!$B$45),"{work}",Inputs!$B$49)</f>
        <v/>
      </c>
    </row>
    <row r="15" ht="16" customHeight="1">
      <c r="A15" s="4" t="inlineStr">
        <is>
          <t>post · features line</t>
        </is>
      </c>
      <c r="B15" s="8" t="inlineStr">
        <is>
          <t>{features}</t>
        </is>
      </c>
      <c r="C15" s="10">
        <f>SUBSTITUTE(B15,"{features}",Inputs!$B$58)</f>
        <v/>
      </c>
    </row>
    <row r="16" ht="16" customHeight="1">
      <c r="A16" s="4" t="inlineStr">
        <is>
          <t>post · beneficiary line</t>
        </is>
      </c>
      <c r="B16" s="8" t="inlineStr">
        <is>
          <t>Released in support of {beneficiary_tagged}.</t>
        </is>
      </c>
      <c r="C16" s="10">
        <f>SUBSTITUTE(B16,"{beneficiary_tagged}",Inputs!$B$55)</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SUBSTITUTE(SUBSTITUTE(SUBSTITUTE(B17,"{window}",Inputs!$B$19),"{launch_date}",Inputs!$B$63),"{launch_time}",Inputs!$B$64)</f>
        <v/>
      </c>
    </row>
    <row r="18" ht="32" customHeight="1">
      <c r="A18" s="4" t="inlineStr">
        <is>
          <t>post · action before launch, draw</t>
        </is>
      </c>
      <c r="B18" s="8" t="inlineStr">
        <is>
          <t>Enter the draw via our link in bio. Closes {close_date} at {close_time}.</t>
        </is>
      </c>
      <c r="C18" s="10">
        <f>SUBSTITUTE(SUBSTITUTE(B18,"{close_date}",Inputs!$B$67),"{close_time}",Inputs!$B$68)</f>
        <v/>
      </c>
    </row>
    <row r="19" ht="16" customHeight="1">
      <c r="A19" s="4" t="inlineStr">
        <is>
          <t>post · action while open, timed</t>
        </is>
      </c>
      <c r="B19" s="8" t="inlineStr">
        <is>
          <t>Link in bio to buy {a_unit}. Closes {close_date} at {close_time}.</t>
        </is>
      </c>
      <c r="C19" s="10">
        <f>SUBSTITUTE(SUBSTITUTE(SUBSTITUTE(B19,"{a_unit}",Inputs!$B$48),"{close_date}",Inputs!$B$67),"{close_time}",Inputs!$B$68)</f>
        <v/>
      </c>
    </row>
    <row r="20" ht="32" customHeight="1">
      <c r="A20" s="4" t="inlineStr">
        <is>
          <t>post · action while open, draw</t>
        </is>
      </c>
      <c r="B20" s="8" t="inlineStr">
        <is>
          <t>Enter the draw via our link in bio. Closes {close_date} at {close_time}.</t>
        </is>
      </c>
      <c r="C20" s="10">
        <f>SUBSTITUTE(SUBSTITUTE(B20,"{close_date}",Inputs!$B$67),"{close_time}",Inputs!$B$68)</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SUBSTITUTE(SUBSTITUTE(B24,"{collab_x}",Inputs!$B$47),"{ordinal}",Inputs!$B$10)</f>
        <v/>
      </c>
    </row>
    <row r="25" ht="16" customHeight="1">
      <c r="A25" s="4" t="inlineStr">
        <is>
          <t>tweet · coming soon · action</t>
        </is>
      </c>
      <c r="B25" s="8" t="inlineStr">
        <is>
          <t>Sign up for updates: {link}</t>
        </is>
      </c>
      <c r="C25" s="10">
        <f>SUBSTITUTE(B25,"{link}",Inputs!$B$8)</f>
        <v/>
      </c>
    </row>
    <row r="26" ht="16" customHeight="1">
      <c r="A26" s="4" t="inlineStr">
        <is>
          <t>tweet · beneficiary line</t>
        </is>
      </c>
      <c r="B26" s="8" t="inlineStr">
        <is>
          <t>Released in support of {beneficiary}.</t>
        </is>
      </c>
      <c r="C26" s="10">
        <f>SUBSTITUTE(B26,"{beneficiary}",Inputs!$B$22)</f>
        <v/>
      </c>
    </row>
    <row r="27" ht="32" customHeight="1">
      <c r="A27" s="4" t="inlineStr">
        <is>
          <t>tweet · action before launch, timed</t>
        </is>
      </c>
      <c r="B27" s="8" t="inlineStr">
        <is>
          <t>Available for {window} from {launch_time} on {launch_date}. Sign up for updates: {link}</t>
        </is>
      </c>
      <c r="C27" s="10">
        <f>SUBSTITUTE(SUBSTITUTE(SUBSTITUTE(SUBSTITUTE(B27,"{link}",Inputs!$B$8),"{window}",Inputs!$B$19),"{launch_date}",Inputs!$B$63),"{launch_time}",Inputs!$B$64)</f>
        <v/>
      </c>
    </row>
    <row r="28" ht="16" customHeight="1">
      <c r="A28" s="4" t="inlineStr">
        <is>
          <t>tweet · action, draw</t>
        </is>
      </c>
      <c r="B28" s="8" t="inlineStr">
        <is>
          <t>Closes {close_date} at {close_time}. Enter the draw: {link}</t>
        </is>
      </c>
      <c r="C28" s="10">
        <f>SUBSTITUTE(SUBSTITUTE(SUBSTITUTE(B28,"{link}",Inputs!$B$8),"{close_date}",Inputs!$B$67),"{close_time}",Inputs!$B$68)</f>
        <v/>
      </c>
    </row>
    <row r="29" ht="16" customHeight="1">
      <c r="A29" s="4" t="inlineStr">
        <is>
          <t>tweet · action while open, timed</t>
        </is>
      </c>
      <c r="B29" s="8" t="inlineStr">
        <is>
          <t>Closes {close_date} at {close_time}. Buy {a_unit}: {link}</t>
        </is>
      </c>
      <c r="C29" s="10">
        <f>SUBSTITUTE(SUBSTITUTE(SUBSTITUTE(SUBSTITUTE(B29,"{link}",Inputs!$B$8),"{a_unit}",Inputs!$B$48),"{close_date}",Inputs!$B$67),"{close_time}",Inputs!$B$68)</f>
        <v/>
      </c>
    </row>
    <row r="30">
      <c r="A30" s="3" t="inlineStr">
        <is>
          <t>EMAILS · shared</t>
        </is>
      </c>
    </row>
    <row r="31" ht="16" customHeight="1">
      <c r="A31" s="4" t="inlineStr">
        <is>
          <t>email · greeting</t>
        </is>
      </c>
      <c r="B31" s="8" t="inlineStr">
        <is>
          <t>Hi {{ personalization_token('contact.firstname', 'there') }},</t>
        </is>
      </c>
      <c r="C31" s="10">
        <f>B31</f>
        <v/>
      </c>
    </row>
    <row r="32" ht="32" customHeight="1">
      <c r="A32" s="4" t="inlineStr">
        <is>
          <t>email · questions line</t>
        </is>
      </c>
      <c r="B32" s="8" t="inlineStr">
        <is>
          <t>If you have any questions, please don't hesitate to get in touch by replying to this email.</t>
        </is>
      </c>
      <c r="C32" s="10">
        <f>B32</f>
        <v/>
      </c>
    </row>
    <row r="33" ht="32" customHeight="1">
      <c r="A33" s="4" t="inlineStr">
        <is>
          <t>email · draw line</t>
        </is>
      </c>
      <c r="B33" s="8" t="inlineStr">
        <is>
          <t>Enter the draw for a chance to collect. Closes at {close_time} on {close_date}.</t>
        </is>
      </c>
      <c r="C33" s="10">
        <f>SUBSTITUTE(SUBSTITUTE(B33,"{close_date}",Inputs!$B$67),"{close_time}",Inputs!$B$68)</f>
        <v/>
      </c>
    </row>
    <row r="34" ht="64" customHeight="1">
      <c r="A34" s="4" t="inlineStr">
        <is>
          <t>email · edition numbers line</t>
        </is>
      </c>
      <c r="B34" s="8" t="inlineStr">
        <is>
          <t>Earlier orders will typically receive a lower edition number, with framed editions receiving lower edition numbers than unframed prints. You can read more on how we allocate edition numbers across a release here.</t>
        </is>
      </c>
      <c r="C34" s="10">
        <f>B34</f>
        <v/>
      </c>
    </row>
    <row r="35" ht="16" customHeight="1">
      <c r="A35" s="4" t="inlineStr">
        <is>
          <t>email · kicker · collect</t>
        </is>
      </c>
      <c r="B35" s="8" t="inlineStr">
        <is>
          <t>Collect {a_unit} by {artist}</t>
        </is>
      </c>
      <c r="C35" s="10">
        <f>SUBSTITUTE(SUBSTITUTE(B35,"{artist}",Inputs!$B$4),"{a_unit}",Inputs!$B$48)</f>
        <v/>
      </c>
    </row>
    <row r="36" ht="32" customHeight="1">
      <c r="A36" s="4" t="inlineStr">
        <is>
          <t>email · framing offer · welcome</t>
        </is>
      </c>
      <c r="B36" s="8" t="inlineStr">
        <is>
          <t>As a welcome gesture, enjoy {framing_percent}% off our in-house framing on your first purchase using the code {framing_code} at checkout.</t>
        </is>
      </c>
      <c r="C36" s="10">
        <f>SUBSTITUTE(SUBSTITUTE(B36,"{framing_code}",Inputs!$B$26),"{framing_percent}",Inputs!$B$27)</f>
        <v/>
      </c>
    </row>
    <row r="37" ht="32" customHeight="1">
      <c r="A37" s="4" t="inlineStr">
        <is>
          <t>email · framing offer · reminder</t>
        </is>
      </c>
      <c r="B37" s="8" t="inlineStr">
        <is>
          <t>As a reminder, you can enjoy {framing_percent}% off our in-house framing on your first purchase using the code {framing_code} at checkout.</t>
        </is>
      </c>
      <c r="C37" s="10">
        <f>SUBSTITUTE(SUBSTITUTE(B37,"{framing_code}",Inputs!$B$26),"{framing_percent}",Inputs!$B$27)</f>
        <v/>
      </c>
    </row>
    <row r="38">
      <c r="A38" s="3" t="inlineStr">
        <is>
          <t>EMAILS · announcement</t>
        </is>
      </c>
    </row>
    <row r="39" ht="16" customHeight="1">
      <c r="A39" s="4" t="inlineStr">
        <is>
          <t>email · announce · subject</t>
        </is>
      </c>
      <c r="B39" s="8" t="inlineStr">
        <is>
          <t>{artist} – {edition_phrase_cap}</t>
        </is>
      </c>
      <c r="C39" s="10">
        <f>SUBSTITUTE(SUBSTITUTE(B39,"{artist}",Inputs!$B$4),"{edition_phrase_cap}",Inputs!$B$72)</f>
        <v/>
      </c>
    </row>
    <row r="40" ht="32" customHeight="1">
      <c r="A40" s="4" t="inlineStr">
        <is>
          <t>email · announce · opener</t>
        </is>
      </c>
      <c r="B40" s="8" t="inlineStr">
        <is>
          <t>We're delighted to announce our {ordinal} collaboration with {collab_with} – {work_intro}{support}.</t>
        </is>
      </c>
      <c r="C40" s="10">
        <f>SUBSTITUTE(SUBSTITUTE(SUBSTITUTE(SUBSTITUTE(B40,"{collab_with}",Inputs!$B$5),"{work_intro}",Inputs!$B$53),"{support}",Inputs!$B$54),"{ordinal}",Inputs!$B$10)</f>
        <v/>
      </c>
    </row>
    <row r="41" ht="32" customHeight="1">
      <c r="A41" s="4" t="inlineStr">
        <is>
          <t>email · announce · launch line, timed</t>
        </is>
      </c>
      <c r="B41" s="8" t="inlineStr">
        <is>
          <t>The edition will be available to collect for {window} only, starting at {launch_time} on {launch_weekday}, {launch_date_dd}.</t>
        </is>
      </c>
      <c r="C41" s="10">
        <f>SUBSTITUTE(SUBSTITUTE(SUBSTITUTE(SUBSTITUTE(B41,"{window}",Inputs!$B$19),"{launch_time}",Inputs!$B$64),"{launch_weekday}",Inputs!$B$65),"{launch_date_dd}",Inputs!$B$66)</f>
        <v/>
      </c>
    </row>
    <row r="42" ht="16" customHeight="1">
      <c r="A42" s="4" t="inlineStr">
        <is>
          <t>email · announce · register line</t>
        </is>
      </c>
      <c r="B42" s="8" t="inlineStr">
        <is>
          <t>Click below to learn more and register for updates.</t>
        </is>
      </c>
      <c r="C42" s="10">
        <f>B42</f>
        <v/>
      </c>
    </row>
    <row r="43">
      <c r="A43" s="3" t="inlineStr">
        <is>
          <t>EMAILS · welcome (TL flow)</t>
        </is>
      </c>
    </row>
    <row r="44" ht="32" customHeight="1">
      <c r="A44" s="4" t="inlineStr">
        <is>
          <t>email · welcome · 1</t>
        </is>
      </c>
      <c r="B44" s="8" t="inlineStr">
        <is>
          <t>Welcome {{ personalization_token('contact.firstname', 'to Avant Arte') }}!</t>
        </is>
      </c>
      <c r="C44" s="10">
        <f>B44</f>
        <v/>
      </c>
    </row>
    <row r="45" ht="64" customHeight="1">
      <c r="A45" s="4" t="inlineStr">
        <is>
          <t>email · welcome · 2</t>
        </is>
      </c>
      <c r="B45" s="8" t="inlineStr">
        <is>
          <t>Avant Arte began with a simple mission – to make collecting art more accessible. Since then, we've collaborated with hundreds of inspiring artists, from rising stars to icons like Ai Weiwei, Jenny Holzer, Lee Ufan and Carrie Mae Weems.</t>
        </is>
      </c>
      <c r="C45" s="10">
        <f>B45</f>
        <v/>
      </c>
    </row>
    <row r="46" ht="64" customHeight="1">
      <c r="A46" s="4" t="inlineStr">
        <is>
          <t>email · welcome · 3</t>
        </is>
      </c>
      <c r="B46" s="8" t="inlineStr">
        <is>
          <t>Our upcoming collaboration with {collab_with} is the latest in this lineage. If you're new to collecting art or curious about limited editions, our library of guides is a good place to start. In particular, How to collect art and What is an edition?</t>
        </is>
      </c>
      <c r="C46" s="10">
        <f>SUBSTITUTE(B46,"{collab_with}",Inputs!$B$5)</f>
        <v/>
      </c>
    </row>
    <row r="47" ht="32" customHeight="1">
      <c r="A47" s="4" t="inlineStr">
        <is>
          <t>email · welcome · 4</t>
        </is>
      </c>
      <c r="B47" s="8" t="inlineStr">
        <is>
          <t>Let us know if you have any questions. We're excited to see what you collect.</t>
        </is>
      </c>
      <c r="C47" s="10">
        <f>B47</f>
        <v/>
      </c>
    </row>
    <row r="48">
      <c r="A48" s="3" t="inlineStr">
        <is>
          <t>EMAILS · early access</t>
        </is>
      </c>
    </row>
    <row r="49" ht="32" customHeight="1">
      <c r="A49" s="4" t="inlineStr">
        <is>
          <t>email · early access, timed · opener</t>
        </is>
      </c>
      <c r="B49" s="8" t="inlineStr">
        <is>
          <t>Our {ordinal} collaboration with {collab_with} launches tomorrow at {launch_time} and will be available to collect for {window} only.</t>
        </is>
      </c>
      <c r="C49" s="10">
        <f>SUBSTITUTE(SUBSTITUTE(SUBSTITUTE(SUBSTITUTE(B49,"{collab_with}",Inputs!$B$5),"{ordinal}",Inputs!$B$10),"{window}",Inputs!$B$19),"{launch_time}",Inputs!$B$64)</f>
        <v/>
      </c>
    </row>
    <row r="50" ht="32" customHeight="1">
      <c r="A50" s="4" t="inlineStr">
        <is>
          <t>email · early access, timed · registered line</t>
        </is>
      </c>
      <c r="B50" s="8" t="inlineStr">
        <is>
          <t>As a thank you for registering for updates, we're offering you the chance to collect the release 24 hours before everyone else.</t>
        </is>
      </c>
      <c r="C50" s="10">
        <f>B50</f>
        <v/>
      </c>
    </row>
    <row r="51" ht="32" customHeight="1">
      <c r="A51" s="4" t="inlineStr">
        <is>
          <t>email · early access, timed · past collectors line</t>
        </is>
      </c>
      <c r="B51" s="8" t="inlineStr">
        <is>
          <t>As a previous collector of the artist, we're offering you the chance to order the collaboration 24 hours before everyone else.</t>
        </is>
      </c>
      <c r="C51" s="10">
        <f>B51</f>
        <v/>
      </c>
    </row>
    <row r="52" ht="16" customHeight="1">
      <c r="A52" s="4" t="inlineStr">
        <is>
          <t>email · early access, timed · unlock line</t>
        </is>
      </c>
      <c r="B52" s="8" t="inlineStr">
        <is>
          <t>Unlock early access using the link below.</t>
        </is>
      </c>
      <c r="C52" s="10">
        <f>B52</f>
        <v/>
      </c>
    </row>
    <row r="53" ht="32" customHeight="1">
      <c r="A53" s="4" t="inlineStr">
        <is>
          <t>email · early access, draw · 1</t>
        </is>
      </c>
      <c r="B53" s="8" t="inlineStr">
        <is>
          <t>We're currently preparing the launch of our {ordinal} collaboration with {collab_with} – {work_intro}{support}.</t>
        </is>
      </c>
      <c r="C53" s="10">
        <f>SUBSTITUTE(SUBSTITUTE(SUBSTITUTE(SUBSTITUTE(B53,"{collab_with}",Inputs!$B$5),"{work_intro}",Inputs!$B$53),"{support}",Inputs!$B$54),"{ordinal}",Inputs!$B$10)</f>
        <v/>
      </c>
    </row>
    <row r="54" ht="96" customHeight="1">
      <c r="A54" s="4" t="inlineStr">
        <is>
          <t>email · early access, draw · 2</t>
        </is>
      </c>
      <c r="B54"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4" s="10">
        <f>SUBSTITUTE(B54,"{launch_date}",Inputs!$B$63)</f>
        <v/>
      </c>
    </row>
    <row r="55" ht="32" customHeight="1">
      <c r="A55" s="4" t="inlineStr">
        <is>
          <t>email · early access, draw · 3</t>
        </is>
      </c>
      <c r="B55" s="8" t="inlineStr">
        <is>
          <t>Explore the artwork and place your order via the private link below. Use code {early_access_code} to unlock early access.</t>
        </is>
      </c>
      <c r="C55" s="10">
        <f>SUBSTITUTE(B55,"{early_access_code}",Inputs!$B$25)</f>
        <v/>
      </c>
    </row>
    <row r="56" ht="32" customHeight="1">
      <c r="A56" s="4" t="inlineStr">
        <is>
          <t>email · insiders · opener</t>
        </is>
      </c>
      <c r="B56" s="8" t="inlineStr">
        <is>
          <t>I'm delighted to share our {ordinal} collaboration with {collab_with} – {work_intro}{support}.</t>
        </is>
      </c>
      <c r="C56" s="10">
        <f>SUBSTITUTE(SUBSTITUTE(SUBSTITUTE(SUBSTITUTE(B56,"{collab_with}",Inputs!$B$5),"{work_intro}",Inputs!$B$53),"{support}",Inputs!$B$54),"{ordinal}",Inputs!$B$10)</f>
        <v/>
      </c>
    </row>
    <row r="57" ht="64" customHeight="1">
      <c r="A57" s="4" t="inlineStr">
        <is>
          <t>email · insiders · mechanics, draw</t>
        </is>
      </c>
      <c r="B57" s="8" t="inlineStr">
        <is>
          <t>The edition will launch publicly on {launch_date} and will be allocated by a randomised draw. However, for the next 48 hours, I'm excited to offer you a first look, plus early access to a limited number of pre-orders.</t>
        </is>
      </c>
      <c r="C57" s="10">
        <f>SUBSTITUTE(B57,"{launch_date}",Inputs!$B$63)</f>
        <v/>
      </c>
    </row>
    <row r="58" ht="48" customHeight="1">
      <c r="A58" s="4" t="inlineStr">
        <is>
          <t>email · insiders · mechanics, timed</t>
        </is>
      </c>
      <c r="B58" s="8" t="inlineStr">
        <is>
          <t>The edition launches tomorrow at {launch_time} and will be available to collect for {window} only. For the next 24 hours, I'm excited to offer you early access ahead of the public launch.</t>
        </is>
      </c>
      <c r="C58" s="10">
        <f>SUBSTITUTE(SUBSTITUTE(B58,"{window}",Inputs!$B$19),"{launch_time}",Inputs!$B$64)</f>
        <v/>
      </c>
    </row>
    <row r="59" ht="32" customHeight="1">
      <c r="A59" s="4" t="inlineStr">
        <is>
          <t>email · insiders · code line, draw</t>
        </is>
      </c>
      <c r="B59" s="8" t="inlineStr">
        <is>
          <t>Discover the artwork and place your order via the private link below. Use code {early_access_code} to unlock early access.</t>
        </is>
      </c>
      <c r="C59" s="10">
        <f>SUBSTITUTE(B59,"{early_access_code}",Inputs!$B$25)</f>
        <v/>
      </c>
    </row>
    <row r="60" ht="16" customHeight="1">
      <c r="A60" s="4" t="inlineStr">
        <is>
          <t>email · insiders · link line, timed</t>
        </is>
      </c>
      <c r="B60" s="8" t="inlineStr">
        <is>
          <t>Discover the artwork and place your order via the private link below.</t>
        </is>
      </c>
      <c r="C60" s="10">
        <f>B60</f>
        <v/>
      </c>
    </row>
    <row r="61" ht="64" customHeight="1">
      <c r="A61" s="4" t="inlineStr">
        <is>
          <t>email · insiders · sign-off</t>
        </is>
      </c>
      <c r="B61" s="8" t="inlineStr">
        <is>
          <t>Best regards,
{advisor}
Art Advisor at Avant Arte</t>
        </is>
      </c>
      <c r="C61" s="10">
        <f>SUBSTITUTE(B61,"{advisor}",Inputs!$B$24)</f>
        <v/>
      </c>
    </row>
    <row r="62">
      <c r="A62" s="3" t="inlineStr">
        <is>
          <t>EMAILS · the window (TL)</t>
        </is>
      </c>
    </row>
    <row r="63" ht="32" customHeight="1">
      <c r="A63" s="4" t="inlineStr">
        <is>
          <t>email · live · opener</t>
        </is>
      </c>
      <c r="B63" s="8" t="inlineStr">
        <is>
          <t>Our {ordinal} collaboration with {collab_with} is now available to collect for {window} only – {work_intro}{support}.</t>
        </is>
      </c>
      <c r="C63" s="10">
        <f>SUBSTITUTE(SUBSTITUTE(SUBSTITUTE(SUBSTITUTE(SUBSTITUTE(B63,"{collab_with}",Inputs!$B$5),"{work_intro}",Inputs!$B$53),"{support}",Inputs!$B$54),"{ordinal}",Inputs!$B$10),"{window}",Inputs!$B$19)</f>
        <v/>
      </c>
    </row>
    <row r="64" ht="48" customHeight="1">
      <c r="A64" s="4" t="inlineStr">
        <is>
          <t>email · live · closing line</t>
        </is>
      </c>
      <c r="B64" s="8" t="inlineStr">
        <is>
          <t>The opportunity to collect an edition ends at {close_time} on {close_weekday}, {close_date_dd}. Click the link below to add {add_what} to your collection.</t>
        </is>
      </c>
      <c r="C64" s="10">
        <f>SUBSTITUTE(SUBSTITUTE(SUBSTITUTE(SUBSTITUTE(B64,"{close_time}",Inputs!$B$68),"{close_weekday}",Inputs!$B$69),"{close_date_dd}",Inputs!$B$70),"{add_what}",Inputs!$B$78)</f>
        <v/>
      </c>
    </row>
    <row r="65" ht="16" customHeight="1">
      <c r="A65" s="4" t="inlineStr">
        <is>
          <t>email · halfway · headline</t>
        </is>
      </c>
      <c r="B65" s="8" t="inlineStr">
        <is>
          <t>24 hours down, 24 to go</t>
        </is>
      </c>
      <c r="C65" s="10">
        <f>B65</f>
        <v/>
      </c>
    </row>
    <row r="66" ht="16" customHeight="1">
      <c r="A66" s="4" t="inlineStr">
        <is>
          <t>email · halfway · footer</t>
        </is>
      </c>
      <c r="B66" s="8" t="inlineStr">
        <is>
          <t>There's still time to add {a_unit} to your collection.</t>
        </is>
      </c>
      <c r="C66" s="10">
        <f>SUBSTITUTE(B66,"{a_unit}",Inputs!$B$48)</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SUBSTITUTE(SUBSTITUTE(B69,"{artist}",Inputs!$B$4),"{collect_phrase}",Inputs!$B$71)</f>
        <v/>
      </c>
    </row>
    <row r="70" ht="32" customHeight="1">
      <c r="A70" s="4" t="inlineStr">
        <is>
          <t>email · 3 days · 2</t>
        </is>
      </c>
      <c r="B70" s="8" t="inlineStr">
        <is>
          <t>Click the link to collect before {close_time} on {close_weekday}, {close_date_dd}.</t>
        </is>
      </c>
      <c r="C70" s="10">
        <f>SUBSTITUTE(SUBSTITUTE(SUBSTITUTE(B70,"{close_time}",Inputs!$B$68),"{close_weekday}",Inputs!$B$69),"{close_date_dd}",Inputs!$B$70)</f>
        <v/>
      </c>
    </row>
    <row r="71" ht="16" customHeight="1">
      <c r="A71" s="4" t="inlineStr">
        <is>
          <t>email · days to go · footer</t>
        </is>
      </c>
      <c r="B71" s="8" t="inlineStr">
        <is>
          <t>Add {a_unit} to your collection</t>
        </is>
      </c>
      <c r="C71" s="10">
        <f>SUBSTITUTE(B71,"{a_unit}",Inputs!$B$48)</f>
        <v/>
      </c>
    </row>
    <row r="72">
      <c r="A72" s="3" t="inlineStr">
        <is>
          <t>EMAILS · last chance</t>
        </is>
      </c>
    </row>
    <row r="73" ht="48" customHeight="1">
      <c r="A73" s="4" t="inlineStr">
        <is>
          <t>email · last chance, timed · 1</t>
        </is>
      </c>
      <c r="B73" s="8" t="inlineStr">
        <is>
          <t>It's now or never for our {ordinal} collaboration with {collab_with} – {collect_phrase} will be available to order until {close_time} on {close_weekday}, {close_date_dd}.</t>
        </is>
      </c>
      <c r="C73" s="10">
        <f>SUBSTITUTE(SUBSTITUTE(SUBSTITUTE(SUBSTITUTE(SUBSTITUTE(SUBSTITUTE(B73,"{collab_with}",Inputs!$B$5),"{collect_phrase}",Inputs!$B$71),"{ordinal}",Inputs!$B$10),"{close_time}",Inputs!$B$68),"{close_weekday}",Inputs!$B$69),"{close_date_dd}",Inputs!$B$70)</f>
        <v/>
      </c>
    </row>
    <row r="74" ht="32" customHeight="1">
      <c r="A74" s="4" t="inlineStr">
        <is>
          <t>email · last chance, timed · 2</t>
        </is>
      </c>
      <c r="B74" s="8" t="inlineStr">
        <is>
          <t>After this time, the edition size{each_artwork} will be confirmed, and the {work_word} will no longer be available to purchase.</t>
        </is>
      </c>
      <c r="C74" s="10">
        <f>SUBSTITUTE(SUBSTITUTE(B74,"{each_artwork}",Inputs!$B$76),"{work_word}",Inputs!$B$77)</f>
        <v/>
      </c>
    </row>
    <row r="75" ht="32" customHeight="1">
      <c r="A75" s="4" t="inlineStr">
        <is>
          <t>email · last chance, draw · 1</t>
        </is>
      </c>
      <c r="B75" s="8" t="inlineStr">
        <is>
          <t>This is your final opportunity to enter the draw for {work_email}, {collect_phrase} by {artist}.</t>
        </is>
      </c>
      <c r="C75" s="10">
        <f>SUBSTITUTE(SUBSTITUTE(SUBSTITUTE(B75,"{artist}",Inputs!$B$4),"{work_email}",Inputs!$B$51),"{collect_phrase}",Inputs!$B$71)</f>
        <v/>
      </c>
    </row>
    <row r="76" ht="32" customHeight="1">
      <c r="A76" s="4" t="inlineStr">
        <is>
          <t>email · last chance, draw · 2</t>
        </is>
      </c>
      <c r="B76" s="8" t="inlineStr">
        <is>
          <t>For a chance to collect, click the link below to enter the draw. The draw closes at {close_time} on {close_weekday}, {close_date_dd}.</t>
        </is>
      </c>
      <c r="C76" s="10">
        <f>SUBSTITUTE(SUBSTITUTE(SUBSTITUTE(B76,"{close_time}",Inputs!$B$68),"{close_weekday}",Inputs!$B$69),"{close_date_dd}",Inputs!$B$70)</f>
        <v/>
      </c>
    </row>
    <row r="77">
      <c r="A77" s="3" t="inlineStr">
        <is>
          <t>EMAILS · surveys (LE)</t>
        </is>
      </c>
    </row>
    <row r="78" ht="16" customHeight="1">
      <c r="A78" s="4" t="inlineStr">
        <is>
          <t>email · first-time survey · subject</t>
        </is>
      </c>
      <c r="B78" s="8" t="inlineStr">
        <is>
          <t>Congratulations on your first Avant Arte edition</t>
        </is>
      </c>
      <c r="C78" s="10">
        <f>B78</f>
        <v/>
      </c>
    </row>
    <row r="79" ht="32" customHeight="1">
      <c r="A79" s="4" t="inlineStr">
        <is>
          <t>email · first-time survey · 1</t>
        </is>
      </c>
      <c r="B79" s="8" t="inlineStr">
        <is>
          <t>Thank you for adding our collaboration with {collab_with} to your collection. Great choice!</t>
        </is>
      </c>
      <c r="C79" s="10">
        <f>SUBSTITUTE(B79,"{collab_with}",Inputs!$B$5)</f>
        <v/>
      </c>
    </row>
    <row r="80" ht="48" customHeight="1">
      <c r="A80" s="4" t="inlineStr">
        <is>
          <t>email · first-time survey · 2</t>
        </is>
      </c>
      <c r="B80" s="8" t="inlineStr">
        <is>
          <t>I'm {advisor}, an art advisor at Avant Arte. I'm here to connect collectors with artists by making suggestions, answering questions and offering early access to our collaborations.</t>
        </is>
      </c>
      <c r="C80" s="10">
        <f>SUBSTITUTE(B80,"{advisor}",Inputs!$B$24)</f>
        <v/>
      </c>
    </row>
    <row r="81" ht="32" customHeight="1">
      <c r="A81" s="4" t="inlineStr">
        <is>
          <t>email · first-time survey · 3</t>
        </is>
      </c>
      <c r="B81" s="8" t="inlineStr">
        <is>
          <t>If you have two minutes to complete a short survey about your collecting journey to date, your responses will help guide my recommendations.</t>
        </is>
      </c>
      <c r="C81" s="10">
        <f>B81</f>
        <v/>
      </c>
    </row>
    <row r="82" ht="16" customHeight="1">
      <c r="A82" s="4" t="inlineStr">
        <is>
          <t>email · first-time survey · 4</t>
        </is>
      </c>
      <c r="B82" s="8" t="inlineStr">
        <is>
          <t>Any questions? Reply to this email.</t>
        </is>
      </c>
      <c r="C82" s="10">
        <f>B82</f>
        <v/>
      </c>
    </row>
    <row r="83" ht="48" customHeight="1">
      <c r="A83" s="4" t="inlineStr">
        <is>
          <t>email · non-purchaser survey · 1</t>
        </is>
      </c>
      <c r="B83" s="8" t="inlineStr">
        <is>
          <t>As someone who registered for updates but ultimately decided not to enter the draw for our collaboration with {collab_with}, we'd love your feedback.</t>
        </is>
      </c>
      <c r="C83" s="10">
        <f>SUBSTITUTE(B83,"{collab_with}",Inputs!$B$5)</f>
        <v/>
      </c>
    </row>
    <row r="84" ht="32" customHeight="1">
      <c r="A84" s="4" t="inlineStr">
        <is>
          <t>email · non-purchaser survey · 2</t>
        </is>
      </c>
      <c r="B84" s="8" t="inlineStr">
        <is>
          <t>This two-minute survey will guide our future collaborations and help us recommend the right artists and editions for your collection.</t>
        </is>
      </c>
      <c r="C84" s="10">
        <f>B84</f>
        <v/>
      </c>
    </row>
    <row r="85" ht="48" customHeight="1">
      <c r="A85" s="4" t="inlineStr">
        <is>
          <t>email · non-purchaser survey · 3</t>
        </is>
      </c>
      <c r="B85" s="8" t="inlineStr">
        <is>
          <t>As a thank you for taking part in the survey and helping us improve the collector experience, you'll be entered into a draw to win a €500 Avant Arte gift card.</t>
        </is>
      </c>
      <c r="C85" s="10">
        <f>B85</f>
        <v/>
      </c>
    </row>
    <row r="86" ht="16" customHeight="1">
      <c r="A86" s="4" t="inlineStr">
        <is>
          <t>email · non-purchaser survey · terms</t>
        </is>
      </c>
      <c r="B86" s="8" t="inlineStr">
        <is>
          <t>You can read the terms here.</t>
        </is>
      </c>
      <c r="C86" s="10">
        <f>B86</f>
        <v/>
      </c>
    </row>
    <row r="87" ht="16" customHeight="1">
      <c r="A87" s="4" t="inlineStr">
        <is>
          <t>email · non-purchaser survey · footer</t>
        </is>
      </c>
      <c r="B87" s="8" t="inlineStr">
        <is>
          <t>What can we do better?</t>
        </is>
      </c>
      <c r="C87" s="10">
        <f>B87</f>
        <v/>
      </c>
    </row>
    <row r="88">
      <c r="A88" s="3" t="inlineStr">
        <is>
          <t>EMAILS · monthly preview</t>
        </is>
      </c>
    </row>
    <row r="89" ht="16" customHeight="1">
      <c r="A89" s="4" t="inlineStr">
        <is>
          <t>email · monthly preview · opener</t>
        </is>
      </c>
      <c r="B89" s="8" t="inlineStr">
        <is>
          <t>From {collab_with} comes {work_intro}{support}.</t>
        </is>
      </c>
      <c r="C89" s="10">
        <f>SUBSTITUTE(SUBSTITUTE(SUBSTITUTE(B89,"{collab_with}",Inputs!$B$5),"{work_intro}",Inputs!$B$53),"{support}",Inputs!$B$54)</f>
        <v/>
      </c>
    </row>
    <row r="90" ht="32" customHeight="1">
      <c r="A90" s="4" t="inlineStr">
        <is>
          <t>email · monthly preview · when, draw</t>
        </is>
      </c>
      <c r="B90" s="8" t="inlineStr">
        <is>
          <t>The edition will be allocated by a randomised draw, which closes at {close_time} on {close_date}.</t>
        </is>
      </c>
      <c r="C90" s="10">
        <f>SUBSTITUTE(SUBSTITUTE(B90,"{close_date}",Inputs!$B$67),"{close_time}",Inputs!$B$68)</f>
        <v/>
      </c>
    </row>
    <row r="91" ht="32" customHeight="1">
      <c r="A91" s="4" t="inlineStr">
        <is>
          <t>email · monthly preview · when, timed</t>
        </is>
      </c>
      <c r="B91" s="8" t="inlineStr">
        <is>
          <t>The edition will be available to collect for {window} only, from {launch_time} on {launch_weekday}, {launch_date_dd}.</t>
        </is>
      </c>
      <c r="C91" s="10">
        <f>SUBSTITUTE(SUBSTITUTE(SUBSTITUTE(SUBSTITUTE(B91,"{window}",Inputs!$B$19),"{launch_time}",Inputs!$B$64),"{launch_weekday}",Inputs!$B$65),"{launch_date_dd}",Inputs!$B$66)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Inputs!$B$56</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IF(Inputs!$B$14="yes",Lines!$C$7,Lines!$C$6)</f>
        <v/>
      </c>
      <c r="F5" s="11">
        <f>Inputs!$B$36</f>
        <v/>
      </c>
      <c r="G5" s="11">
        <f>Lines!$C$15&amp;IF(Inputs!$B$57,"",IF(Inputs!$B$55="","","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Inputs!$B$62</f>
        <v/>
      </c>
      <c r="G6" s="11">
        <f>Lines!$C$15&amp;IF(Inputs!$B$55="","","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IF(Inputs!$B$42="","(no quote given, post skipped)",Lines!$C$9)</f>
        <v/>
      </c>
      <c r="F7" s="11">
        <f>IF(Inputs!$B$42="","",Lines!$C$10)</f>
        <v/>
      </c>
      <c r="G7" s="11">
        <f>IF(Inputs!$B$42="","",Lines!$C$15&amp;IF(Inputs!$B$55="",""," "&amp;Lines!$C$16))</f>
        <v/>
      </c>
      <c r="H7" s="11">
        <f>IF(Inputs!$B$42="","",IF(Inputs!$B$18="draw",Lines!$C$18,Lines!$C$17))</f>
        <v/>
      </c>
      <c r="I7" s="11">
        <f>""</f>
        <v/>
      </c>
      <c r="J7" s="11">
        <f>IF(Inputs!$B$42="","(no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IF(Inputs!$B$18="draw","",Lines!$C$15&amp;IF(Inputs!$B$55="","","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IF(Inputs!$B$18="draw","",Lines!$C$15&amp;IF(Inputs!$B$55="","","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Lines!$C$15&amp;IF(Inputs!$B$55="","","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 hook · beneficiary · action</t>
        </is>
      </c>
      <c r="D5" s="11">
        <f>SUBSTITUTE(IF(Inputs!$B$14="yes",Lines!$C$7,Lines!$C$6),Inputs!$B$45,Inputs!$B$46)</f>
        <v/>
      </c>
      <c r="E5" s="11">
        <f>Inputs!$B$36</f>
        <v/>
      </c>
      <c r="F5" s="11">
        <f>IF(OR(Inputs!$B$22="",Inputs!$B$57),"",Lines!$C$26)</f>
        <v/>
      </c>
      <c r="G5" s="11">
        <f>IF(Inputs!$B$18="draw",Lines!$C$28,Lines!$C$27)</f>
        <v/>
      </c>
      <c r="H5" s="11">
        <f>D5&amp;IF(E5="","",CHAR(10)&amp;CHAR(10)&amp;E5)&amp;IF(F5="","",CHAR(10)&amp;CHAR(10)&amp;F5)&amp;IF(G5="","",CHAR(10)&amp;CHAR(10)&amp;G5)</f>
        <v/>
      </c>
      <c r="I5" s="11">
        <f>LEN(H5)</f>
        <v/>
      </c>
    </row>
    <row r="6" ht="80" customHeight="1">
      <c r="A6" s="11" t="n">
        <v>3</v>
      </c>
      <c r="B6" s="11" t="inlineStr">
        <is>
          <t>live (timed only)</t>
        </is>
      </c>
      <c r="C6" s="11" t="inlineStr">
        <is>
          <t>status · action</t>
        </is>
      </c>
      <c r="D6" s="11">
        <f>IF(Inputs!$B$18="draw","(not used for a draw)",SUBSTITUTE(Lines!$C$11,Inputs!$B$45,Inputs!$B$46))</f>
        <v/>
      </c>
      <c r="E6" s="11">
        <f>""</f>
        <v/>
      </c>
      <c r="F6" s="11">
        <f>""</f>
        <v/>
      </c>
      <c r="G6" s="11">
        <f>IF(Inputs!$B$18="draw","",IF(Inputs!$B$18="draw",Lines!$C$28,Lines!$C$29))</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draw)",SUBSTITUTE(Lines!$C$12,Inputs!$B$45,Inputs!$B$46))</f>
        <v/>
      </c>
      <c r="E7" s="11">
        <f>""</f>
        <v/>
      </c>
      <c r="F7" s="11">
        <f>""</f>
        <v/>
      </c>
      <c r="G7" s="11">
        <f>IF(Inputs!$B$18="draw","",IF(Inputs!$B$18="draw",Lines!$C$28,Lines!$C$29))</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IF(Inputs!$B$18="draw",SUBSTITUTE(Lines!$C$14,Inputs!$B$45,Inputs!$B$46),SUBSTITUTE(Lines!$C$13,Inputs!$B$45,Inputs!$B$46))</f>
        <v/>
      </c>
      <c r="E8" s="11">
        <f>""</f>
        <v/>
      </c>
      <c r="F8" s="11">
        <f>""</f>
        <v/>
      </c>
      <c r="G8" s="11">
        <f>IF(Inputs!$B$18="draw",Lines!$C$28,Lines!$C$29)</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IF($D4&lt;&gt;"yes","",Lines!$C$39)</f>
        <v/>
      </c>
      <c r="F4" s="11">
        <f>IF($D4&lt;&gt;"yes","",IF(Inputs!$B$18="draw","Enter the draw for a chance to collect. Closes "&amp;Inputs!$B$67&amp;".","Launching "&amp;Inputs!$B$63&amp;". Register for updates."))</f>
        <v/>
      </c>
      <c r="G4" s="11">
        <f>IF($D4&lt;&gt;"yes","",IF(Inputs!$B$18="draw","Enter the draw","Launching "&amp;Inputs!$B$63))</f>
        <v/>
      </c>
      <c r="H4" s="11">
        <f>IF($D4&lt;&gt;"yes","",IF(Inputs!$B$18="draw",Inputs!$B$52,Inputs!$B$52&amp;" by "&amp;Inputs!$B$4))</f>
        <v/>
      </c>
      <c r="I4" s="11">
        <f>IF($D4&lt;&gt;"yes","",(Lines!$C$40&amp;IF(Inputs!$B$36="","",CHAR(10)&amp;CHAR(10)&amp;Inputs!$B$36)&amp;IF(Inputs!$B$61="","",CHAR(10)&amp;CHAR(10)&amp;Inputs!$B$61)&amp;IF(Inputs!$B$59="","",CHAR(10)&amp;CHAR(10)&amp;Inputs!$B$59)&amp;IF(IF(Inputs!$B$18="draw",Lines!$C$33,(Lines!$C$41&amp;IF(Lines!$C$42="","",CHAR(10)&amp;CHAR(10)&amp;Lines!$C$42)))="","",CHAR(10)&amp;CHAR(10)&amp;IF(Inputs!$B$18="draw",Lines!$C$33,(Lines!$C$41&amp;IF(Lines!$C$42="","",CHAR(10)&amp;CHAR(10)&amp;Lines!$C$42))))))</f>
        <v/>
      </c>
      <c r="J4" s="11">
        <f>IF($D4&lt;&gt;"yes","",IF(Inputs!$B$18="draw","Enter the draw","Discover the collaboration"))</f>
        <v/>
      </c>
      <c r="K4" s="11">
        <f>IF($D4&lt;&gt;"yes","",Inputs!$B$74)</f>
        <v/>
      </c>
      <c r="L4" s="11">
        <f>IF($D4&lt;&gt;"yes","",Inputs!$B$75)</f>
        <v/>
      </c>
      <c r="M4" s="11">
        <f>IF($D4&lt;&gt;"yes","",IF(Inputs!$B$18="draw","Collect "&amp;Inputs!$B$71,"Launching "&amp;Inputs!$B$63))</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IF($D5&lt;&gt;"yes","",(Lines!$C$44&amp;IF(Lines!$C$45="","",CHAR(10)&amp;CHAR(10)&amp;Lines!$C$45)&amp;IF(Lines!$C$46="","",CHAR(10)&amp;CHAR(10)&amp;Lines!$C$46)&amp;IF(Lines!$C$47="","",CHAR(10)&amp;CHAR(10)&amp;Lines!$C$47)))</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$31&amp;IF(Lines!$C$49="","",CHAR(10)&amp;CHAR(10)&amp;Lines!$C$49)&amp;IF(Inputs!$B$36="","",CHAR(10)&amp;CHAR(10)&amp;Inputs!$B$36)&amp;IF(Inputs!$B$60="","",CHAR(10)&amp;CHAR(10)&amp;Inputs!$B$60)&amp;IF(Lines!$C$50="","",CHAR(10)&amp;CHAR(10)&amp;Lines!$C$50)&amp;IF(IF(Inputs!$B$26="","",Lines!$C$36)="","",CHAR(10)&amp;CHAR(10)&amp;IF(Inputs!$B$26="","",Lines!$C$36))&amp;IF(Lines!$C$52="","",CHAR(10)&amp;CHAR(10)&amp;Lines!$C$52)))</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$31&amp;IF(Lines!$C$49="","",CHAR(10)&amp;CHAR(10)&amp;Lines!$C$49)&amp;IF(Inputs!$B$36="","",CHAR(10)&amp;CHAR(10)&amp;Inputs!$B$36)&amp;IF(Inputs!$B$60="","",CHAR(10)&amp;CHAR(10)&amp;Inputs!$B$60)&amp;IF(Lines!$C$51="","",CHAR(10)&amp;CHAR(10)&amp;Lines!$C$51)&amp;IF(Lines!$C$52="","",CHAR(10)&amp;CHAR(10)&amp;Lines!$C$52)&amp;IF(Lines!$C$34="","",CHAR(10)&amp;CHAR(10)&amp;Lines!$C$34)&amp;IF(Lines!$C$32="","",CHAR(10)&amp;CHAR(10)&amp;Lines!$C$32)))</f>
        <v/>
      </c>
      <c r="J7" s="11">
        <f>IF($D7&lt;&gt;"yes","","Unlock early access")</f>
        <v/>
      </c>
      <c r="K7" s="11">
        <f>IF($D7&lt;&gt;"yes","",Inputs!$B$74)</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$31&amp;IF(Lines!$C$56="","",CHAR(10)&amp;CHAR(10)&amp;Lines!$C$56)&amp;IF(Inputs!$B$36="","",CHAR(10)&amp;CHAR(10)&amp;Inputs!$B$36)&amp;IF(IF(Inputs!$B$18="draw",Lines!$C$57,Lines!$C$58)="","",CHAR(10)&amp;CHAR(10)&amp;IF(Inputs!$B$18="draw",Lines!$C$57,Lines!$C$58))&amp;IF(IF(Inputs!$B$18="draw",Lines!$C$59,Lines!$C$60)="","",CHAR(10)&amp;CHAR(10)&amp;IF(Inputs!$B$18="draw",Lines!$C$59,Lines!$C$60))&amp;IF(Lines!$C$32="","",CHAR(10)&amp;CHAR(10)&amp;Lines!$C$32)&amp;IF(Lines!$C$61="","",CHAR(10)&amp;CHAR(10)&amp;Lines!$C$61)))</f>
        <v/>
      </c>
      <c r="J8" s="11">
        <f>IF($D8&lt;&gt;"yes","","Unlock early access")</f>
        <v/>
      </c>
      <c r="K8" s="11">
        <f>IF($D8&lt;&gt;"yes","",Inputs!$B$74)</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$31&amp;IF(Lines!$C$53="","",CHAR(10)&amp;CHAR(10)&amp;Lines!$C$53)&amp;IF(Inputs!$B$36="","",CHAR(10)&amp;CHAR(10)&amp;Inputs!$B$36)&amp;IF(Lines!$C$54="","",CHAR(10)&amp;CHAR(10)&amp;Lines!$C$54)&amp;IF(Lines!$C$55="","",CHAR(10)&amp;CHAR(10)&amp;Lines!$C$55)&amp;IF(Lines!$C$34="","",CHAR(10)&amp;CHAR(10)&amp;Lines!$C$34)&amp;IF(Lines!$C$32="","",CHAR(10)&amp;CHAR(10)&amp;Lines!$C$32)))</f>
        <v/>
      </c>
      <c r="J9" s="11">
        <f>IF($D9&lt;&gt;"yes","","Unlock early access")</f>
        <v/>
      </c>
      <c r="K9" s="11">
        <f>IF($D9&lt;&gt;"yes","",Inputs!$B$74)</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IF($D10&lt;&gt;"yes","",Inputs!$B$73&amp;", starting now.")</f>
        <v/>
      </c>
      <c r="G10" s="11">
        <f>IF($D10&lt;&gt;"yes","",Lines!$C$35)</f>
        <v/>
      </c>
      <c r="H10" s="11">
        <f>IF($D10&lt;&gt;"yes","",Inputs!$B$73&amp;", starting now")</f>
        <v/>
      </c>
      <c r="I10" s="11">
        <f>IF($D10&lt;&gt;"yes","",(Lines!$C$63&amp;IF(Inputs!$B$36="","",CHAR(10)&amp;CHAR(10)&amp;Inputs!$B$36)&amp;IF(Inputs!$B$61="","",CHAR(10)&amp;CHAR(10)&amp;Inputs!$B$61)&amp;IF(Inputs!$B$60="","",CHAR(10)&amp;CHAR(10)&amp;Inputs!$B$60)&amp;IF(Lines!$C$64="","",CHAR(10)&amp;CHAR(10)&amp;Lines!$C$64)&amp;IF(IF(Inputs!$B$26="","",Lines!$C$36)="","",CHAR(10)&amp;CHAR(10)&amp;IF(Inputs!$B$26="","",Lines!$C$36))))</f>
        <v/>
      </c>
      <c r="J10" s="11">
        <f>IF($D10&lt;&gt;"yes","","Buy now")</f>
        <v/>
      </c>
      <c r="K10" s="11">
        <f>IF($D10&lt;&gt;"yes","",Inputs!$B$74)</f>
        <v/>
      </c>
      <c r="L10" s="11">
        <f>IF($D10&lt;&gt;"yes","",Inputs!$B$75)</f>
        <v/>
      </c>
      <c r="M10" s="11">
        <f>IF($D10&lt;&gt;"yes","","Collect "&amp;Inputs!$B$71)</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IF($D11&lt;&gt;"yes","",Lines!$C$35)</f>
        <v/>
      </c>
      <c r="H11" s="11">
        <f>IF($D11&lt;&gt;"yes","",Lines!$C$65)</f>
        <v/>
      </c>
      <c r="I11" s="11">
        <f>""</f>
        <v/>
      </c>
      <c r="J11" s="11">
        <f>IF($D11&lt;&gt;"yes","","Buy now")</f>
        <v/>
      </c>
      <c r="K11" s="11">
        <f>""</f>
        <v/>
      </c>
      <c r="L11" s="11">
        <f>""</f>
        <v/>
      </c>
      <c r="M11" s="11">
        <f>IF($D11&lt;&gt;"yes","",Lines!$C$66)</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IF($D12&lt;&gt;"yes","",Lines!$C$35)</f>
        <v/>
      </c>
      <c r="H12" s="11">
        <f>IF($D12&lt;&gt;"yes","",Lines!$C$67)</f>
        <v/>
      </c>
      <c r="I12" s="11">
        <f>""</f>
        <v/>
      </c>
      <c r="J12" s="11">
        <f>IF($D12&lt;&gt;"yes","","Buy "&amp;Inputs!$B$48)</f>
        <v/>
      </c>
      <c r="K12" s="11">
        <f>""</f>
        <v/>
      </c>
      <c r="L12" s="11">
        <f>""</f>
        <v/>
      </c>
      <c r="M12" s="11">
        <f>IF($D12&lt;&gt;"yes","",Lines!$C$71)</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IF($D13&lt;&gt;"yes","",Inputs!$B$52&amp;" by "&amp;Inputs!$B$4)</f>
        <v/>
      </c>
      <c r="H13" s="11">
        <f>IF($D13&lt;&gt;"yes","",Lines!$C$68)</f>
        <v/>
      </c>
      <c r="I13" s="11">
        <f>IF($D13&lt;&gt;"yes","",(Lines!$C$69&amp;IF(Inputs!$B$36="","",CHAR(10)&amp;CHAR(10)&amp;Inputs!$B$36)&amp;IF(Lines!$C$70="","",CHAR(10)&amp;CHAR(10)&amp;Lines!$C$70)&amp;IF(IF(Inputs!$B$26="","",Lines!$C$37)="","",CHAR(10)&amp;CHAR(10)&amp;IF(Inputs!$B$26="","",Lines!$C$37))))</f>
        <v/>
      </c>
      <c r="J13" s="11">
        <f>IF($D13&lt;&gt;"yes","","Buy "&amp;Inputs!$B$48)</f>
        <v/>
      </c>
      <c r="K13" s="11">
        <f>IF($D13&lt;&gt;"yes","",Inputs!$B$74)</f>
        <v/>
      </c>
      <c r="L13" s="11">
        <f>""</f>
        <v/>
      </c>
      <c r="M13" s="11">
        <f>IF($D13&lt;&gt;"yes","",Lines!$C$71)</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"&amp;Inputs!$B$68&amp;" on "&amp;Inputs!$B$67&amp;".","Time is almost up."))</f>
        <v/>
      </c>
      <c r="G14" s="11">
        <f>IF($D14&lt;&gt;"yes","",Inputs!$B$4)</f>
        <v/>
      </c>
      <c r="H14" s="11">
        <f>IF($D14&lt;&gt;"yes","",IF(Inputs!$B$18="draw","Last chance to enter the draw","Last chance to collect"))</f>
        <v/>
      </c>
      <c r="I14" s="11">
        <f>IF($D14&lt;&gt;"yes","",IF(Inputs!$B$18="draw",(Lines!$C$75&amp;IF(Inputs!$B$36="","",CHAR(10)&amp;CHAR(10)&amp;Inputs!$B$36)&amp;IF(Lines!$C$76="","",CHAR(10)&amp;CHAR(10)&amp;Lines!$C$76)),(Lines!$C$73&amp;IF(Lines!$C$74="","",CHAR(10)&amp;CHAR(10)&amp;Lines!$C$74)&amp;IF(IF(Inputs!$B$26="","",Lines!$C$37)="","",CHAR(10)&amp;CHAR(10)&amp;IF(Inputs!$B$26="","",Lines!$C$37)))))</f>
        <v/>
      </c>
      <c r="J14" s="11">
        <f>IF($D14&lt;&gt;"yes","",IF(Inputs!$B$18="draw","Enter the draw","Buy now"))</f>
        <v/>
      </c>
      <c r="K14" s="11">
        <f>IF($D14&lt;&gt;"yes","",Inputs!$B$74)</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IF($D15&lt;&gt;"yes","",Lines!$C$78)</f>
        <v/>
      </c>
      <c r="F15" s="11">
        <f>""</f>
        <v/>
      </c>
      <c r="G15" s="11">
        <f>""</f>
        <v/>
      </c>
      <c r="H15" s="11">
        <f>""</f>
        <v/>
      </c>
      <c r="I15" s="11">
        <f>IF($D15&lt;&gt;"yes","",(Lines!$C$31&amp;IF(Lines!$C$79="","",CHAR(10)&amp;CHAR(10)&amp;Lines!$C$79)&amp;IF(Lines!$C$80="","",CHAR(10)&amp;CHAR(10)&amp;Lines!$C$80)&amp;IF(Lines!$C$81="","",CHAR(10)&amp;CHAR(10)&amp;Lines!$C$81)&amp;IF(Lines!$C$82="","",CHAR(10)&amp;CHAR(10)&amp;Lines!$C$82)))</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IF($D16&lt;&gt;"yes","",(Lines!$C$83&amp;IF(Lines!$C$84="","",CHAR(10)&amp;CHAR(10)&amp;Lines!$C$84)&amp;IF(Lines!$C$85="","",CHAR(10)&amp;CHAR(10)&amp;Lines!$C$85)&amp;IF(Lines!$C$86="","",CHAR(10)&amp;CHAR(10)&amp;Lines!$C$86)))</f>
        <v/>
      </c>
      <c r="J16" s="11">
        <f>IF($D16&lt;&gt;"yes","","Complete survey")</f>
        <v/>
      </c>
      <c r="K16" s="11">
        <f>""</f>
        <v/>
      </c>
      <c r="L16" s="11">
        <f>""</f>
        <v/>
      </c>
      <c r="M16" s="11">
        <f>IF($D16&lt;&gt;"yes","",Lines!$C$87)</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$89&amp;IF(Inputs!$B$36="","",CHAR(10)&amp;CHAR(10)&amp;Inputs!$B$36)&amp;IF(Inputs!$B$61="","",CHAR(10)&amp;CHAR(10)&amp;Inputs!$B$61)&amp;IF(IF(Inputs!$B$18="draw",Lines!$C$90,Lines!$C$91)="","",CHAR(10)&amp;CHAR(10)&amp;IF(Inputs!$B$18="draw",Lines!$C$90,Lines!$C$91))))</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2026-09-14T15:53:35Z</dcterms:created>
  <dcterms:modified xsi:type="dcterms:W3CDTF">2026-09-14T15:53:35Z</dcterms:modified>
</cp:coreProperties>
</file>