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Salvador Dalí</t>
        </is>
      </c>
      <c r="C4" s="2" t="inlineStr">
        <is>
          <t>full name: the works are 'by' this name</t>
        </is>
      </c>
    </row>
    <row r="5">
      <c r="A5" s="4" t="inlineStr">
        <is>
          <t>collab_with</t>
        </is>
      </c>
      <c r="B5" s="5" t="inlineStr">
        <is>
          <t>the Salvador Dalí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https://avantarte.co/salvadordaliestate-x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The Spectre of Sex Appeal</t>
        </is>
      </c>
      <c r="C11" s="2" t="inlineStr">
        <is>
          <t>exactly as it appears, and what the card is headed with. Untitled works from a series still keep their own titles here</t>
        </is>
      </c>
    </row>
    <row r="12">
      <c r="A12" s="4" t="inlineStr">
        <is>
          <t>title_2</t>
        </is>
      </c>
      <c r="B12" s="5" t="inlineStr">
        <is>
          <t>Millet's Architectonic Angelus</t>
        </is>
      </c>
      <c r="C12" s="2" t="inlineStr">
        <is>
          <t>for a pair or a trio with their own titles; blank otherwise</t>
        </is>
      </c>
    </row>
    <row r="13">
      <c r="A13" s="4" t="inlineStr">
        <is>
          <t>title_3</t>
        </is>
      </c>
      <c r="B13" s="5" t="inlineStr">
        <is>
          <t>The Phantom Cart</t>
        </is>
      </c>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three new limited edition prints</t>
        </is>
      </c>
      <c r="C15" s="2" t="inlineStr">
        <is>
          <t>e.g. a new limited edition print; a quartet of new limited edition embroideries; a new limited edition print in four colourways</t>
        </is>
      </c>
    </row>
    <row r="16">
      <c r="A16" s="4" t="inlineStr">
        <is>
          <t>works</t>
        </is>
      </c>
      <c r="B16" s="5" t="n">
        <v>3</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46255.54166666666</v>
      </c>
      <c r="C20" s="2" t="inlineStr">
        <is>
          <t>date and time the window opens, or the draw opens (UK)</t>
        </is>
      </c>
    </row>
    <row r="21">
      <c r="A21" s="4" t="inlineStr">
        <is>
          <t>closes_at</t>
        </is>
      </c>
      <c r="B21" s="6" t="n">
        <v>46276.58333333334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557-659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Authenticated with a bespoke debossed Salvador Dalí Estate stamp</t>
        </is>
      </c>
      <c r="C29" s="2" t="inlineStr"/>
    </row>
    <row r="30">
      <c r="A30" s="4" t="inlineStr">
        <is>
          <t>feature_3</t>
        </is>
      </c>
      <c r="B30" s="5" t="inlineStr">
        <is>
          <t>An edition of 400</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Salvador Dalí (1904–1989) was the showman of Surrealism, a painter of dreams, desire and the subconscious whose double images and melting forms made him one of the most recognised artists of the twentieth century.</t>
        </is>
      </c>
      <c r="C35" s="9" t="inlineStr">
        <is>
          <t>2 to 3 sentences on the artist, third person, no handle. Coming Soon post only.</t>
        </is>
      </c>
    </row>
    <row r="36" ht="64" customHeight="1">
      <c r="A36" s="4" t="inlineStr">
        <is>
          <t>hook</t>
        </is>
      </c>
      <c r="B36" s="8" t="inlineStr">
        <is>
          <t>Originally painted between 1933 and 1934, Millet's Architectonic Angelus, The Spectre of Sex Appeal and The Phantom Cart are prime examples of Dalí's fascination with dreams, desire and the subconscious. Each is charged with surreal and erotic suggestion.</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bringing together some of Dalí's most renowned paintings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Each print was created in close collaboration with the Salvador Dalí Estate by printmakers at Make-Ready, and is finished with a bespoke debossed estate stamp.</t>
        </is>
      </c>
      <c r="C39" s="9" t="inlineStr">
        <is>
          <t>one sentence on how the edition was made; write 'printmakers at Make-Ready' and the sheet adds 'our'.</t>
        </is>
      </c>
    </row>
    <row r="40" ht="32" customHeight="1">
      <c r="A40" s="4" t="inlineStr">
        <is>
          <t>card_line_1</t>
        </is>
      </c>
      <c r="B40" s="8" t="inlineStr">
        <is>
          <t>The human form made strange and architectural, a swollen body held up by crutches on an empty shore.</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is>
          <t>Millet's painting of quiet piety rebuilt as two monumental stone forms; Dalí's original hangs in Madrid's Reina Sofía.</t>
        </is>
      </c>
      <c r="C41" s="9" t="inlineStr">
        <is>
          <t>the second titled work; blank otherwise</t>
        </is>
      </c>
    </row>
    <row r="42" ht="32" customHeight="1">
      <c r="A42" s="4" t="inlineStr">
        <is>
          <t>card_line_3</t>
        </is>
      </c>
      <c r="B42" s="8" t="inlineStr">
        <is>
          <t>A wagon crossing an empty plain towards a distant city, its passengers and the city's towers merging into one shifting illusion.</t>
        </is>
      </c>
      <c r="C42" s="9" t="inlineStr">
        <is>
          <t>the third; blank otherwise</t>
        </is>
      </c>
    </row>
    <row r="43" ht="32" customHeight="1">
      <c r="A43" s="4" t="inlineStr">
        <is>
          <t>quote</t>
        </is>
      </c>
      <c r="B43" s="8" t="inlineStr"/>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9"/>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SUBSTITUTE(SUBSTITUTE(B69,"{artist}",Inputs!$B$4),"{collect_phrase}",Inputs!$B$74)</f>
        <v/>
      </c>
    </row>
    <row r="70" ht="32" customHeight="1">
      <c r="A70" s="4" t="inlineStr">
        <is>
          <t>email · 3 days · 2</t>
        </is>
      </c>
      <c r="B70" s="8" t="inlineStr">
        <is>
          <t>Click the link to collect before {close_time} on {close_weekday}, {close_date_dd}.</t>
        </is>
      </c>
      <c r="C70" s="10">
        <f>SUBSTITUTE(SUBSTITUTE(SUBSTITUTE(B70,"{close_time}",Inputs!$B$71),"{close_weekday}",Inputs!$B$72),"{close_date_dd}",Inputs!$B$73)</f>
        <v/>
      </c>
    </row>
    <row r="71">
      <c r="A71" s="3" t="inlineStr">
        <is>
          <t>EMAILS · last chance</t>
        </is>
      </c>
    </row>
    <row r="72" ht="48" customHeight="1">
      <c r="A72" s="4" t="inlineStr">
        <is>
          <t>email · last chance, timed · 1</t>
        </is>
      </c>
      <c r="B72" s="8" t="inlineStr">
        <is>
          <t>It's now or never for our {ordinal} collaboration with {collab_with} – {collect_phrase} will be available to order until {close_time} on {close_weekday}, {close_date_dd}.</t>
        </is>
      </c>
      <c r="C72" s="10">
        <f>SUBSTITUTE(SUBSTITUTE(SUBSTITUTE(SUBSTITUTE(SUBSTITUTE(SUBSTITUTE(B72,"{collab_with}",Inputs!$B$5),"{collect_phrase}",Inputs!$B$74),"{ordinal}",Inputs!$B$10),"{close_time}",Inputs!$B$71),"{close_weekday}",Inputs!$B$72),"{close_date_dd}",Inputs!$B$73)</f>
        <v/>
      </c>
    </row>
    <row r="73" ht="32" customHeight="1">
      <c r="A73" s="4" t="inlineStr">
        <is>
          <t>email · last chance, timed · 2</t>
        </is>
      </c>
      <c r="B73" s="8" t="inlineStr">
        <is>
          <t>After this time, the edition size{each_artwork} will be confirmed, and the {work_word} will no longer be available to purchase.</t>
        </is>
      </c>
      <c r="C73" s="10">
        <f>SUBSTITUTE(SUBSTITUTE(B73,"{each_artwork}",Inputs!$B$79),"{work_word}",Inputs!$B$80)</f>
        <v/>
      </c>
    </row>
    <row r="74" ht="32" customHeight="1">
      <c r="A74" s="4" t="inlineStr">
        <is>
          <t>email · last chance, draw · 1</t>
        </is>
      </c>
      <c r="B74" s="8" t="inlineStr">
        <is>
          <t>This is your final opportunity to enter the draw for {work_email}, {collect_phrase} by {artist}.</t>
        </is>
      </c>
      <c r="C74" s="10">
        <f>SUBSTITUTE(SUBSTITUTE(SUBSTITUTE(B74,"{artist}",Inputs!$B$4),"{work_email}",Inputs!$B$52),"{collect_phrase}",Inputs!$B$74)</f>
        <v/>
      </c>
    </row>
    <row r="75" ht="32" customHeight="1">
      <c r="A75" s="4" t="inlineStr">
        <is>
          <t>email · last chance, draw · 2</t>
        </is>
      </c>
      <c r="B75" s="8" t="inlineStr">
        <is>
          <t>For a chance to collect, click the link below to enter the draw. The draw closes at {close_time} on {close_weekday}, {close_date_dd}.</t>
        </is>
      </c>
      <c r="C75" s="10">
        <f>SUBSTITUTE(SUBSTITUTE(SUBSTITUTE(B75,"{close_time}",Inputs!$B$71),"{close_weekday}",Inputs!$B$72),"{close_date_dd}",Inputs!$B$73)</f>
        <v/>
      </c>
    </row>
    <row r="76">
      <c r="A76" s="3" t="inlineStr">
        <is>
          <t>EMAILS · surveys (LE)</t>
        </is>
      </c>
    </row>
    <row r="77" ht="16" customHeight="1">
      <c r="A77" s="4" t="inlineStr">
        <is>
          <t>email · first-time survey · subject</t>
        </is>
      </c>
      <c r="B77" s="8" t="inlineStr">
        <is>
          <t>Congratulations on your first Avant Arte edition</t>
        </is>
      </c>
      <c r="C77" s="10">
        <f>B77</f>
        <v/>
      </c>
    </row>
    <row r="78" ht="32" customHeight="1">
      <c r="A78" s="4" t="inlineStr">
        <is>
          <t>email · first-time survey · 1</t>
        </is>
      </c>
      <c r="B78" s="8" t="inlineStr">
        <is>
          <t>Thank you for adding our collaboration with {collab_with} to your collection. Great choice!</t>
        </is>
      </c>
      <c r="C78" s="10">
        <f>SUBSTITUTE(B78,"{collab_with}",Inputs!$B$5)</f>
        <v/>
      </c>
    </row>
    <row r="79" ht="48" customHeight="1">
      <c r="A79" s="4" t="inlineStr">
        <is>
          <t>email · first-time survey · 2</t>
        </is>
      </c>
      <c r="B79" s="8" t="inlineStr">
        <is>
          <t>I'm {advisor}, an art advisor at Avant Arte. I'm here to connect collectors with artists by making suggestions, answering questions and offering early access to our collaborations.</t>
        </is>
      </c>
      <c r="C79" s="10">
        <f>SUBSTITUTE(B79,"{advisor}",Inputs!$B$24)</f>
        <v/>
      </c>
    </row>
    <row r="80" ht="32" customHeight="1">
      <c r="A80" s="4" t="inlineStr">
        <is>
          <t>email · first-time survey · 3</t>
        </is>
      </c>
      <c r="B80" s="8" t="inlineStr">
        <is>
          <t>If you have two minutes to complete a short survey about your collecting journey to date, your responses will help guide my recommendations.</t>
        </is>
      </c>
      <c r="C80" s="10">
        <f>B80</f>
        <v/>
      </c>
    </row>
    <row r="81" ht="16" customHeight="1">
      <c r="A81" s="4" t="inlineStr">
        <is>
          <t>email · first-time survey · 4</t>
        </is>
      </c>
      <c r="B81" s="8" t="inlineStr">
        <is>
          <t>Any questions? Reply to this email.</t>
        </is>
      </c>
      <c r="C81" s="10">
        <f>B81</f>
        <v/>
      </c>
    </row>
    <row r="82" ht="48" customHeight="1">
      <c r="A82" s="4" t="inlineStr">
        <is>
          <t>email · non-purchaser survey · 1</t>
        </is>
      </c>
      <c r="B82" s="8" t="inlineStr">
        <is>
          <t>As someone who registered for updates but ultimately decided not to enter the draw for our collaboration with {collab_with}, we'd love your feedback.</t>
        </is>
      </c>
      <c r="C82" s="10">
        <f>SUBSTITUTE(B82,"{collab_with}",Inputs!$B$5)</f>
        <v/>
      </c>
    </row>
    <row r="83" ht="32" customHeight="1">
      <c r="A83" s="4" t="inlineStr">
        <is>
          <t>email · non-purchaser survey · 2</t>
        </is>
      </c>
      <c r="B83" s="8" t="inlineStr">
        <is>
          <t>This two-minute survey will guide our future collaborations and help us recommend the right artists and editions for your collection.</t>
        </is>
      </c>
      <c r="C83" s="10">
        <f>B83</f>
        <v/>
      </c>
    </row>
    <row r="84" ht="48" customHeight="1">
      <c r="A84" s="4" t="inlineStr">
        <is>
          <t>email · non-purchaser survey · 3</t>
        </is>
      </c>
      <c r="B84" s="8" t="inlineStr">
        <is>
          <t>As a thank you for taking part in the survey and helping us improve the collector experience, you'll be entered into a draw to win a €500 Avant Arte gift card.</t>
        </is>
      </c>
      <c r="C84" s="10">
        <f>B84</f>
        <v/>
      </c>
    </row>
    <row r="85" ht="16" customHeight="1">
      <c r="A85" s="4" t="inlineStr">
        <is>
          <t>email · non-purchaser survey · terms</t>
        </is>
      </c>
      <c r="B85" s="8" t="inlineStr">
        <is>
          <t>You can read the terms here.</t>
        </is>
      </c>
      <c r="C85" s="10">
        <f>B85</f>
        <v/>
      </c>
    </row>
    <row r="86">
      <c r="A86" s="3" t="inlineStr">
        <is>
          <t>EMAILS · monthly preview</t>
        </is>
      </c>
    </row>
    <row r="87" ht="16" customHeight="1">
      <c r="A87" s="4" t="inlineStr">
        <is>
          <t>email · monthly preview · opener</t>
        </is>
      </c>
      <c r="B87" s="8" t="inlineStr">
        <is>
          <t>From {collab_with} comes {work_intro}{support}.</t>
        </is>
      </c>
      <c r="C87" s="10">
        <f>SUBSTITUTE(SUBSTITUTE(SUBSTITUTE(B87,"{collab_with}",Inputs!$B$5),"{work_intro}",Inputs!$B$54),"{support}",Inputs!$B$55)</f>
        <v/>
      </c>
    </row>
    <row r="88" ht="32" customHeight="1">
      <c r="A88" s="4" t="inlineStr">
        <is>
          <t>email · monthly preview · when, draw</t>
        </is>
      </c>
      <c r="B88" s="8" t="inlineStr">
        <is>
          <t>The edition will be allocated by a randomised draw, which closes at {close_time} on {close_date}.</t>
        </is>
      </c>
      <c r="C88" s="10">
        <f>SUBSTITUTE(SUBSTITUTE(B88,"{close_date}",Inputs!$B$70),"{close_time}",Inputs!$B$71)</f>
        <v/>
      </c>
    </row>
    <row r="89" ht="32" customHeight="1">
      <c r="A89" s="4" t="inlineStr">
        <is>
          <t>email · monthly preview · when, timed</t>
        </is>
      </c>
      <c r="B89" s="8" t="inlineStr">
        <is>
          <t>The edition will be available to collect for {window} only, from {launch_time} on {launch_weekday}, {launch_date_dd}.</t>
        </is>
      </c>
      <c r="C89" s="10">
        <f>SUBSTITUTE(SUBSTITUTE(SUBSTITUTE(SUBSTITUTE(B89,"{window}",Inputs!$B$19),"{launch_time}",Inputs!$B$67),"{launch_weekday}",Inputs!$B$68),"{launch_date_dd}",Inputs!$B$69)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96" customWidth="1" min="13" max="13"/>
    <col width="11" customWidth="1" min="14" max="14"/>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Full email, ready to paste</t>
        </is>
      </c>
      <c r="N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IF(D4&lt;&gt;"yes",D4,IF(E4="","","Subject: "&amp;E4)&amp;IF(F4="","",CHAR(10)&amp;"Preview: "&amp;F4)&amp;IF(G4="","",CHAR(10)&amp;"Kicker: "&amp;G4)&amp;IF(H4="","",CHAR(10)&amp;"Headline: "&amp;H4)&amp;IF(I4="","",IF(E4&amp;F4&amp;G4&amp;H4="","",CHAR(10)&amp;CHAR(10))&amp;I4)&amp;IF(J4="","",CHAR(10)&amp;CHAR(10)&amp;"CTA: "&amp;J4)&amp;IF(K4="","",CHAR(10)&amp;CHAR(10)&amp;"Card: "&amp;K4)&amp;IF(L4="","",CHAR(10)&amp;CHAR(10)&amp;"Quote: "&amp;L4))</f>
        <v/>
      </c>
      <c r="N4" s="11">
        <f>LEN(M4)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IF(D5&lt;&gt;"yes",D5,IF(E5="","","Subject: "&amp;E5)&amp;IF(F5="","",CHAR(10)&amp;"Preview: "&amp;F5)&amp;IF(G5="","",CHAR(10)&amp;"Kicker: "&amp;G5)&amp;IF(H5="","",CHAR(10)&amp;"Headline: "&amp;H5)&amp;IF(I5="","",IF(E5&amp;F5&amp;G5&amp;H5="","",CHAR(10)&amp;CHAR(10))&amp;I5)&amp;IF(J5="","",CHAR(10)&amp;CHAR(10)&amp;"CTA: "&amp;J5)&amp;IF(K5="","",CHAR(10)&amp;CHAR(10)&amp;"Card: "&amp;K5)&amp;IF(L5="","",CHAR(10)&amp;CHAR(10)&amp;"Quote: "&amp;L5))</f>
        <v/>
      </c>
      <c r="N5" s="11">
        <f>LEN(M5)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IF(D6&lt;&gt;"yes",D6,IF(E6="","","Subject: "&amp;E6)&amp;IF(F6="","",CHAR(10)&amp;"Preview: "&amp;F6)&amp;IF(G6="","",CHAR(10)&amp;"Kicker: "&amp;G6)&amp;IF(H6="","",CHAR(10)&amp;"Headline: "&amp;H6)&amp;IF(I6="","",IF(E6&amp;F6&amp;G6&amp;H6="","",CHAR(10)&amp;CHAR(10))&amp;I6)&amp;IF(J6="","",CHAR(10)&amp;CHAR(10)&amp;"CTA: "&amp;J6)&amp;IF(K6="","",CHAR(10)&amp;CHAR(10)&amp;"Card: "&amp;K6)&amp;IF(L6="","",CHAR(10)&amp;CHAR(10)&amp;"Quote: "&amp;L6))</f>
        <v/>
      </c>
      <c r="N6" s="11">
        <f>LEN(M6)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IF(D7&lt;&gt;"yes",D7,IF(E7="","","Subject: "&amp;E7)&amp;IF(F7="","",CHAR(10)&amp;"Preview: "&amp;F7)&amp;IF(G7="","",CHAR(10)&amp;"Kicker: "&amp;G7)&amp;IF(H7="","",CHAR(10)&amp;"Headline: "&amp;H7)&amp;IF(I7="","",IF(E7&amp;F7&amp;G7&amp;H7="","",CHAR(10)&amp;CHAR(10))&amp;I7)&amp;IF(J7="","",CHAR(10)&amp;CHAR(10)&amp;"CTA: "&amp;J7)&amp;IF(K7="","",CHAR(10)&amp;CHAR(10)&amp;"Card: "&amp;K7)&amp;IF(L7="","",CHAR(10)&amp;CHAR(10)&amp;"Quote: "&amp;L7))</f>
        <v/>
      </c>
      <c r="N7" s="11">
        <f>LEN(M7)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IF(D8&lt;&gt;"yes",D8,IF(E8="","","Subject: "&amp;E8)&amp;IF(F8="","",CHAR(10)&amp;"Preview: "&amp;F8)&amp;IF(G8="","",CHAR(10)&amp;"Kicker: "&amp;G8)&amp;IF(H8="","",CHAR(10)&amp;"Headline: "&amp;H8)&amp;IF(I8="","",IF(E8&amp;F8&amp;G8&amp;H8="","",CHAR(10)&amp;CHAR(10))&amp;I8)&amp;IF(J8="","",CHAR(10)&amp;CHAR(10)&amp;"CTA: "&amp;J8)&amp;IF(K8="","",CHAR(10)&amp;CHAR(10)&amp;"Card: "&amp;K8)&amp;IF(L8="","",CHAR(10)&amp;CHAR(10)&amp;"Quote: "&amp;L8))</f>
        <v/>
      </c>
      <c r="N8" s="11">
        <f>LEN(M8)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IF(D9&lt;&gt;"yes",D9,IF(E9="","","Subject: "&amp;E9)&amp;IF(F9="","",CHAR(10)&amp;"Preview: "&amp;F9)&amp;IF(G9="","",CHAR(10)&amp;"Kicker: "&amp;G9)&amp;IF(H9="","",CHAR(10)&amp;"Headline: "&amp;H9)&amp;IF(I9="","",IF(E9&amp;F9&amp;G9&amp;H9="","",CHAR(10)&amp;CHAR(10))&amp;I9)&amp;IF(J9="","",CHAR(10)&amp;CHAR(10)&amp;"CTA: "&amp;J9)&amp;IF(K9="","",CHAR(10)&amp;CHAR(10)&amp;"Card: "&amp;K9)&amp;IF(L9="","",CHAR(10)&amp;CHAR(10)&amp;"Quote: "&amp;L9))</f>
        <v/>
      </c>
      <c r="N9" s="11">
        <f>LEN(M9)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f>
        <v/>
      </c>
      <c r="N10" s="11">
        <f>LEN(M10)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f>
        <v/>
      </c>
      <c r="N11" s="11">
        <f>LEN(M11)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IF($D12&lt;&gt;"yes","",Lines!$C$67)</f>
        <v/>
      </c>
      <c r="I12" s="11">
        <f>""</f>
        <v/>
      </c>
      <c r="J12" s="11">
        <f>IF($D12&lt;&gt;"yes","","Buy "&amp;Inputs!$B$49)</f>
        <v/>
      </c>
      <c r="K12" s="11">
        <f>""</f>
        <v/>
      </c>
      <c r="L12" s="11">
        <f>""</f>
        <v/>
      </c>
      <c r="M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f>
        <v/>
      </c>
      <c r="N12" s="11">
        <f>LEN(M12)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IF($D13&lt;&gt;"yes","",Lines!$C$68)</f>
        <v/>
      </c>
      <c r="I13" s="11">
        <f>IF($D13&lt;&gt;"yes","",(Lines!$C$69&amp;IF(Inputs!$B$36="","",CHAR(10)&amp;CHAR(10)&amp;Inputs!$B$36)&amp;IF(Lines!$C$70="","",CHAR(10)&amp;CHAR(10)&amp;Lines!$C$70)&amp;IF(IF(Inputs!$B$26="","",Lines!$C$38)="","",CHAR(10)&amp;CHAR(10)&amp;IF(Inputs!$B$26="","",Lines!$C$38))))</f>
        <v/>
      </c>
      <c r="J13" s="11">
        <f>IF($D13&lt;&gt;"yes","","Buy "&amp;Inputs!$B$49)</f>
        <v/>
      </c>
      <c r="K13" s="11">
        <f>IF($D13&lt;&gt;"yes","",Inputs!$B$77)</f>
        <v/>
      </c>
      <c r="L13" s="11">
        <f>""</f>
        <v/>
      </c>
      <c r="M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f>
        <v/>
      </c>
      <c r="N13" s="11">
        <f>LEN(M13)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$74&amp;IF(Inputs!$B$36="","",CHAR(10)&amp;CHAR(10)&amp;Inputs!$B$36)&amp;IF(Lines!$C$75="","",CHAR(10)&amp;CHAR(10)&amp;Lines!$C$75)),(Lines!$C$72&amp;IF(Lines!$C$73="","",CHAR(10)&amp;CHAR(10)&amp;Lines!$C$73)&amp;IF(IF(Inputs!$B$26="","",Lines!$C$38)="","",CHAR(10)&amp;CHAR(10)&amp;IF(Inputs!$B$26="","",Lines!$C$38)))))</f>
        <v/>
      </c>
      <c r="J14" s="11">
        <f>IF($D14&lt;&gt;"yes","",IF(Inputs!$B$18="draw","Enter the draw","Buy now"))</f>
        <v/>
      </c>
      <c r="K14" s="11">
        <f>IF($D14&lt;&gt;"yes","",Inputs!$B$77)</f>
        <v/>
      </c>
      <c r="L14" s="11">
        <f>""</f>
        <v/>
      </c>
      <c r="M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f>
        <v/>
      </c>
      <c r="N14" s="11">
        <f>LEN(M14)</f>
        <v/>
      </c>
    </row>
    <row r="15" ht="300" customHeight="1">
      <c r="A15" s="11" t="n">
        <v>12</v>
      </c>
      <c r="B15" s="11" t="inlineStr">
        <is>
          <t>First-time collector survey (LE)</t>
        </is>
      </c>
      <c r="C15" s="11" t="inlineStr">
        <is>
          <t>draw, after the draw closes</t>
        </is>
      </c>
      <c r="D15" s="11">
        <f>IF(Inputs!$B$18="draw","yes","(not used for a timed edition)")</f>
        <v/>
      </c>
      <c r="E15" s="11">
        <f>IF($D15&lt;&gt;"yes","",Lines!$C$77)</f>
        <v/>
      </c>
      <c r="F15" s="11">
        <f>""</f>
        <v/>
      </c>
      <c r="G15" s="11">
        <f>""</f>
        <v/>
      </c>
      <c r="H15" s="11">
        <f>""</f>
        <v/>
      </c>
      <c r="I15" s="11">
        <f>IF($D15&lt;&gt;"yes","",(Lines!$C$32&amp;IF(Lines!$C$78="","",CHAR(10)&amp;CHAR(10)&amp;Lines!$C$78)&amp;IF(Lines!$C$79="","",CHAR(10)&amp;CHAR(10)&amp;Lines!$C$79)&amp;IF(Lines!$C$80="","",CHAR(10)&amp;CHAR(10)&amp;Lines!$C$80)&amp;IF(Lines!$C$81="","",CHAR(10)&amp;CHAR(10)&amp;Lines!$C$81)))</f>
        <v/>
      </c>
      <c r="J15" s="11">
        <f>IF($D15&lt;&gt;"yes","","Complete survey")</f>
        <v/>
      </c>
      <c r="K15" s="11">
        <f>IF($D15&lt;&gt;"yes","",Inputs!$B$4)</f>
        <v/>
      </c>
      <c r="L15" s="11">
        <f>""</f>
        <v/>
      </c>
      <c r="M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f>
        <v/>
      </c>
      <c r="N15" s="11">
        <f>LEN(M15)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IF($D16&lt;&gt;"yes","",(Lines!$C$82&amp;IF(Lines!$C$83="","",CHAR(10)&amp;CHAR(10)&amp;Lines!$C$83)&amp;IF(Lines!$C$84="","",CHAR(10)&amp;CHAR(10)&amp;Lines!$C$84)&amp;IF(Lines!$C$85="","",CHAR(10)&amp;CHAR(10)&amp;Lines!$C$85)))</f>
        <v/>
      </c>
      <c r="J16" s="11">
        <f>IF($D16&lt;&gt;"yes","","Complete survey")</f>
        <v/>
      </c>
      <c r="K16" s="11">
        <f>""</f>
        <v/>
      </c>
      <c r="L16" s="11">
        <f>""</f>
        <v/>
      </c>
      <c r="M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f>
        <v/>
      </c>
      <c r="N16" s="11">
        <f>LEN(M16)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$87&amp;IF(Inputs!$B$36="","",CHAR(10)&amp;CHAR(10)&amp;Inputs!$B$36)&amp;IF(Inputs!$B$64="","",CHAR(10)&amp;CHAR(10)&amp;Inputs!$B$64)&amp;IF(IF(Inputs!$B$18="draw",Lines!$C$88,Lines!$C$89)="","",CHAR(10)&amp;CHAR(10)&amp;IF(Inputs!$B$18="draw",Lines!$C$88,Lines!$C$89))))</f>
        <v/>
      </c>
      <c r="J17" s="11">
        <f>""</f>
        <v/>
      </c>
      <c r="K17" s="11">
        <f>""</f>
        <v/>
      </c>
      <c r="L17" s="11">
        <f>""</f>
        <v/>
      </c>
      <c r="M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f>
        <v/>
      </c>
      <c r="N17" s="11">
        <f>LEN(M17)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2026-09-18T15:52:12Z</dcterms:created>
  <dcterms:modified xsi:type="dcterms:W3CDTF">2026-09-18T15:52:12Z</dcterms:modified>
</cp:coreProperties>
</file>