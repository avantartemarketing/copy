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Grayson Perry</t>
        </is>
      </c>
      <c r="C4" s="2" t="inlineStr">
        <is>
          <t>full name: the works are 'by' this name</t>
        </is>
      </c>
    </row>
    <row r="5">
      <c r="A5" s="4" t="inlineStr">
        <is>
          <t>collab_with</t>
        </is>
      </c>
      <c r="B5" s="5" t="inlineStr">
        <is>
          <t>Grayson Perry</t>
        </is>
      </c>
      <c r="C5" s="2" t="inlineStr">
        <is>
          <t>the words after 'collaboration with': usually the name, or the estate</t>
        </is>
      </c>
    </row>
    <row r="6">
      <c r="A6" s="4" t="inlineStr">
        <is>
          <t>handle</t>
        </is>
      </c>
      <c r="B6" s="5" t="inlineStr">
        <is>
          <t>alanmeasles</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https://avantarte.co/grayson-perry</t>
        </is>
      </c>
      <c r="C8" s="2" t="inlineStr">
        <is>
          <t>the release's short link, for tweets</t>
        </is>
      </c>
    </row>
    <row r="9">
      <c r="A9" s="4" t="inlineStr">
        <is>
          <t>hashtag</t>
        </is>
      </c>
      <c r="B9" s="5" t="inlineStr">
        <is>
          <t>GraysonPerry</t>
        </is>
      </c>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The Changeling</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one week</t>
        </is>
      </c>
      <c r="C19" s="2" t="inlineStr">
        <is>
          <t>48 hours or one week; timed only</t>
        </is>
      </c>
    </row>
    <row r="20">
      <c r="A20" s="4" t="inlineStr">
        <is>
          <t>launch_at</t>
        </is>
      </c>
      <c r="B20" s="6" t="n">
        <v>46142.58333333334</v>
      </c>
      <c r="C20" s="2" t="inlineStr">
        <is>
          <t>date and time the window opens, or the draw opens (UK)</t>
        </is>
      </c>
    </row>
    <row r="21">
      <c r="A21" s="4" t="inlineStr">
        <is>
          <t>closes_at</t>
        </is>
      </c>
      <c r="B21" s="6" t="n">
        <v>46149.58333333334</v>
      </c>
      <c r="C21" s="2" t="inlineStr">
        <is>
          <t>date and time the window or draw closes (UK)</t>
        </is>
      </c>
    </row>
    <row r="22">
      <c r="A22" s="4" t="inlineStr">
        <is>
          <t>beneficiary</t>
        </is>
      </c>
      <c r="B22" s="5" t="inlineStr">
        <is>
          <t>the Foundling Museum</t>
        </is>
      </c>
      <c r="C22" s="2" t="inlineStr">
        <is>
          <t>as it reads mid-sentence; blank if none</t>
        </is>
      </c>
    </row>
    <row r="23">
      <c r="A23" s="4" t="inlineStr">
        <is>
          <t>beneficiary_handle</t>
        </is>
      </c>
      <c r="B23" s="5" t="inlineStr">
        <is>
          <t>foundlingmuseum</t>
        </is>
      </c>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128" customHeight="1">
      <c r="A35" s="4" t="inlineStr">
        <is>
          <t>bio</t>
        </is>
      </c>
      <c r="B35" s="8" t="inlineStr">
        <is>
          <t>Grayson Perry has long been one of the most distinctive voices in contemporary British art.
Working across ceramics, tapestry, print and sculpture, his practice examines identity, class, and gender in modern society. Drawing on autobiography as well as social observation, Grayson often pairs the decorative language of traditional craft with direct commentary on the structures and contradictions that shape everyday life.</t>
        </is>
      </c>
      <c r="C35" s="9" t="inlineStr">
        <is>
          <t>2 to 3 sentences on the artist, third person, no handle. Coming Soon post only.</t>
        </is>
      </c>
    </row>
    <row r="36" ht="48" customHeight="1">
      <c r="A36" s="4" t="inlineStr">
        <is>
          <t>hook</t>
        </is>
      </c>
      <c r="B36" s="8" t="inlineStr">
        <is>
          <t>The Changeling portrays a child as a symbol of modern youth, exploring how technology shapes today's generations. It reimagines changeling folklore for the digital age, and is intended to be 'quite disturbing'.</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making</t>
        </is>
      </c>
      <c r="B38" s="8" t="inlineStr">
        <is>
          <t>To create the edition, printmakers at Make-Ready translated a new design into a 9-colour silkscreen, capturing the vivid detail of the original drawing.</t>
        </is>
      </c>
      <c r="C38" s="9" t="inlineStr">
        <is>
          <t>one sentence on how the edition was made; write 'printmakers at Make-Ready' and the sheet adds 'our'.</t>
        </is>
      </c>
    </row>
    <row r="39" ht="32" customHeight="1">
      <c r="A39" s="4" t="inlineStr">
        <is>
          <t>card_line_1</t>
        </is>
      </c>
      <c r="B39" s="8" t="inlineStr">
        <is>
          <t>Collect a limited edition print by Grayson Perry, exploring modern youth shaped by technology, produced in vivid detail through a 9-colour silkscreen print.</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Beauty and seriousness are perhaps the most shocking tactics left to artists these days.</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IF(OR($B$22="",$B$58),"",", released in support of "&amp;$B$22)</f>
        <v/>
      </c>
    </row>
    <row r="55">
      <c r="A55" s="4" t="inlineStr">
        <is>
          <t>tweet_beneficiary</t>
        </is>
      </c>
      <c r="B55" s="10">
        <f>IF(OR($B$22="",$B$58),"",", in support of "&amp;$B$22)</f>
        <v/>
      </c>
    </row>
    <row r="56">
      <c r="A56" s="4" t="inlineStr">
        <is>
          <t>beneficiary_tagged</t>
        </is>
      </c>
      <c r="B56" s="10">
        <f>IF($B$22="","",$B$22&amp;IF($B$23="",""," (@"&amp;$B$23&amp;")"))</f>
        <v/>
      </c>
    </row>
    <row r="57" ht="80" customHeight="1">
      <c r="A57" s="4" t="inlineStr">
        <is>
          <t>bio_tagged</t>
        </is>
      </c>
      <c r="B57" s="10">
        <f>IF($B$6="",$B$35,SUBSTITUTE($B$35,$B$4,$B$45,1))</f>
        <v/>
      </c>
    </row>
    <row r="58">
      <c r="A58" s="4" t="inlineStr">
        <is>
          <t>hook_names_beneficiary</t>
        </is>
      </c>
      <c r="B58" s="10">
        <f>IF($B$22="",FALSE,ISNUMBER(SEARCH($B$22,$B$36)))</f>
        <v/>
      </c>
    </row>
    <row r="59">
      <c r="A59" s="4" t="inlineStr">
        <is>
          <t>features</t>
        </is>
      </c>
      <c r="B59" s="10">
        <f>$B$28&amp;IF($B$29="","",". "&amp;$B$29)&amp;IF($B$30="","",". "&amp;$B$30)&amp;IF($B$31="","",". "&amp;$B$31)&amp;IF($B$32="","",". "&amp;$B$32)&amp;"."</f>
        <v/>
      </c>
    </row>
    <row r="60" ht="60" customHeight="1">
      <c r="A60" s="4" t="inlineStr">
        <is>
          <t>features_list</t>
        </is>
      </c>
      <c r="B60" s="10">
        <f>"· "&amp;$B$28&amp;IF($B$29="","",CHAR(10)&amp;"· "&amp;$B$29)&amp;IF($B$30="","",CHAR(10)&amp;"· "&amp;$B$30)&amp;IF($B$31="","",CHAR(10)&amp;"· "&amp;$B$31)&amp;IF($B$32="","",CHAR(10)&amp;"· "&amp;$B$32)</f>
        <v/>
      </c>
    </row>
    <row r="61" ht="70" customHeight="1">
      <c r="A61" s="4" t="inlineStr">
        <is>
          <t>features_list_support</t>
        </is>
      </c>
      <c r="B61" s="10">
        <f>$B$60&amp;IF(OR($B$22="",$B$58),"",CHAR(10)&amp;"· Released in support of "&amp;$B$22)</f>
        <v/>
      </c>
    </row>
    <row r="62">
      <c r="A62" s="4" t="inlineStr">
        <is>
          <t>making_ours</t>
        </is>
      </c>
      <c r="B62" s="10">
        <f>SUBSTITUTE($B$38,"printmakers at Make-Ready","our printmakers at Make-Ready")</f>
        <v/>
      </c>
    </row>
    <row r="63">
      <c r="A63" s="4" t="inlineStr">
        <is>
          <t>making_ours_tagged</t>
        </is>
      </c>
      <c r="B63" s="10">
        <f>SUBSTITUTE($B$38,"printmakers at Make-Ready","our printmakers at Make-Ready (@make__ready)")</f>
        <v/>
      </c>
    </row>
    <row r="64">
      <c r="A64" s="4" t="inlineStr">
        <is>
          <t>launch_date</t>
        </is>
      </c>
      <c r="B64" s="10">
        <f>TEXT($B$20,"d mmmm")</f>
        <v/>
      </c>
    </row>
    <row r="65">
      <c r="A65" s="4" t="inlineStr">
        <is>
          <t>launch_time</t>
        </is>
      </c>
      <c r="B65" s="10">
        <f>TEXT($B$20,"hh:mm")&amp;" UK time"</f>
        <v/>
      </c>
    </row>
    <row r="66">
      <c r="A66" s="4" t="inlineStr">
        <is>
          <t>launch_weekday</t>
        </is>
      </c>
      <c r="B66" s="10">
        <f>TEXT($B$20,"dddd")</f>
        <v/>
      </c>
    </row>
    <row r="67">
      <c r="A67" s="4" t="inlineStr">
        <is>
          <t>launch_date_dd</t>
        </is>
      </c>
      <c r="B67" s="10">
        <f>TEXT($B$20,"dd mmmm")</f>
        <v/>
      </c>
    </row>
    <row r="68">
      <c r="A68" s="4" t="inlineStr">
        <is>
          <t>close_date</t>
        </is>
      </c>
      <c r="B68" s="10">
        <f>TEXT($B$21,"d mmmm")</f>
        <v/>
      </c>
    </row>
    <row r="69">
      <c r="A69" s="4" t="inlineStr">
        <is>
          <t>close_time</t>
        </is>
      </c>
      <c r="B69" s="10">
        <f>TEXT($B$21,"hh:mm")&amp;" UK time"</f>
        <v/>
      </c>
    </row>
    <row r="70">
      <c r="A70" s="4" t="inlineStr">
        <is>
          <t>close_weekday</t>
        </is>
      </c>
      <c r="B70" s="10">
        <f>TEXT($B$21,"dddd")</f>
        <v/>
      </c>
    </row>
    <row r="71">
      <c r="A71" s="4" t="inlineStr">
        <is>
          <t>close_date_dd</t>
        </is>
      </c>
      <c r="B71" s="10">
        <f>TEXT($B$21,"dd mmmm")</f>
        <v/>
      </c>
    </row>
    <row r="72">
      <c r="A72" s="4" t="inlineStr">
        <is>
          <t>collect_phrase</t>
        </is>
      </c>
      <c r="B72" s="10">
        <f>SUBSTITUTE($B$15," new "," ",1)</f>
        <v/>
      </c>
    </row>
    <row r="73">
      <c r="A73" s="4" t="inlineStr">
        <is>
          <t>edition_phrase_cap</t>
        </is>
      </c>
      <c r="B73" s="10">
        <f>UPPER(LEFT($B$15,1))&amp;MID($B$15,2,999)</f>
        <v/>
      </c>
    </row>
    <row r="74">
      <c r="A74" s="4" t="inlineStr">
        <is>
          <t>window_cap</t>
        </is>
      </c>
      <c r="B74" s="10">
        <f>UPPER(LEFT($B$19,1))&amp;MID($B$19,2,999)</f>
        <v/>
      </c>
    </row>
    <row r="75">
      <c r="A75" s="4" t="inlineStr">
        <is>
          <t>card</t>
        </is>
      </c>
      <c r="B75" s="10">
        <f>$B$11&amp;IF($B$39="","",CHAR(10)&amp;$B$39)&amp;IF($B$12="","",CHAR(10)&amp;CHAR(10)&amp;"Card: "&amp;$B$12&amp;IF($B$40="","",CHAR(10)&amp;$B$40))&amp;IF($B$13="","",CHAR(10)&amp;CHAR(10)&amp;"Card: "&amp;$B$13&amp;IF($B$41="","",CHAR(10)&amp;$B$41))</f>
        <v/>
      </c>
    </row>
    <row r="76">
      <c r="A76" s="4" t="inlineStr">
        <is>
          <t>quote_line</t>
        </is>
      </c>
      <c r="B76" s="10">
        <f>IF($B$42="","","“"&amp;$B$42&amp;"” – "&amp;$B$4)</f>
        <v/>
      </c>
    </row>
    <row r="77">
      <c r="A77" s="4" t="inlineStr">
        <is>
          <t>each_artwork</t>
        </is>
      </c>
      <c r="B77" s="10">
        <f>IF($B$16&gt;1," for each artwork","")</f>
        <v/>
      </c>
    </row>
    <row r="78">
      <c r="A78" s="4" t="inlineStr">
        <is>
          <t>work_word</t>
        </is>
      </c>
      <c r="B78" s="10">
        <f>IF($B$16&gt;1,"works","work")</f>
        <v/>
      </c>
    </row>
    <row r="79">
      <c r="A79" s="4" t="inlineStr">
        <is>
          <t>add_what</t>
        </is>
      </c>
      <c r="B79"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SUBSTITUTE(B15,"{features}",Inputs!$B$59)</f>
        <v/>
      </c>
    </row>
    <row r="16" ht="16" customHeight="1">
      <c r="A16" s="4" t="inlineStr">
        <is>
          <t>post · beneficiary line</t>
        </is>
      </c>
      <c r="B16" s="8" t="inlineStr">
        <is>
          <t>Released in support of {beneficiary_tagged}.</t>
        </is>
      </c>
      <c r="C16" s="10">
        <f>SUBSTITUTE(B16,"{beneficiary_tagged}",Inputs!$B$56)</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SUBSTITUTE(SUBSTITUTE(SUBSTITUTE(B17,"{window}",Inputs!$B$19),"{launch_date}",Inputs!$B$64),"{launch_time}",Inputs!$B$65)</f>
        <v/>
      </c>
    </row>
    <row r="18" ht="32" customHeight="1">
      <c r="A18" s="4" t="inlineStr">
        <is>
          <t>post · action before launch, draw</t>
        </is>
      </c>
      <c r="B18" s="8" t="inlineStr">
        <is>
          <t>Enter the draw via our link in bio. Closes {close_date} at {close_time}.</t>
        </is>
      </c>
      <c r="C18" s="10">
        <f>SUBSTITUTE(SUBSTITUTE(B18,"{close_date}",Inputs!$B$68),"{close_time}",Inputs!$B$69)</f>
        <v/>
      </c>
    </row>
    <row r="19" ht="16" customHeight="1">
      <c r="A19" s="4" t="inlineStr">
        <is>
          <t>post · action while open, timed</t>
        </is>
      </c>
      <c r="B19" s="8" t="inlineStr">
        <is>
          <t>Link in bio to buy {a_unit}. Closes {close_date} at {close_time}.</t>
        </is>
      </c>
      <c r="C19" s="10">
        <f>SUBSTITUTE(SUBSTITUTE(SUBSTITUTE(B19,"{a_unit}",Inputs!$B$48),"{close_date}",Inputs!$B$68),"{close_time}",Inputs!$B$69)</f>
        <v/>
      </c>
    </row>
    <row r="20" ht="32" customHeight="1">
      <c r="A20" s="4" t="inlineStr">
        <is>
          <t>post · action while open, draw</t>
        </is>
      </c>
      <c r="B20" s="8" t="inlineStr">
        <is>
          <t>Enter the draw via our link in bio. Closes {close_date} at {close_time}.</t>
        </is>
      </c>
      <c r="C20" s="10">
        <f>SUBSTITUTE(SUBSTITUTE(B20,"{close_date}",Inputs!$B$68),"{close_time}",Inputs!$B$69)</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SUBSTITUTE(SUBSTITUTE(SUBSTITUTE(SUBSTITUTE(B26,"{named_x}",Inputs!$B$46),"{work}",Inputs!$B$49),"{tweet_beneficiary}",Inputs!$B$55),"{edition_phrase}",Inputs!$B$15)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SUBSTITUTE(SUBSTITUTE(SUBSTITUTE(SUBSTITUTE(B27,"{named_x}",Inputs!$B$46),"{work}",Inputs!$B$49),"{tweet_beneficiary}",Inputs!$B$55),"{edition_phrase}",Inputs!$B$15)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SUBSTITUTE(SUBSTITUTE(SUBSTITUTE(SUBSTITUTE(B28,"{link}",Inputs!$B$8),"{window}",Inputs!$B$19),"{launch_date}",Inputs!$B$64),"{launch_time}",Inputs!$B$65)</f>
        <v/>
      </c>
    </row>
    <row r="29" ht="16" customHeight="1">
      <c r="A29" s="4" t="inlineStr">
        <is>
          <t>tweet · action, draw</t>
        </is>
      </c>
      <c r="B29" s="8" t="inlineStr">
        <is>
          <t>Closes {close_date} at {close_time}. Enter the draw: {link}</t>
        </is>
      </c>
      <c r="C29" s="10">
        <f>SUBSTITUTE(SUBSTITUTE(SUBSTITUTE(B29,"{link}",Inputs!$B$8),"{close_date}",Inputs!$B$68),"{close_time}",Inputs!$B$69)</f>
        <v/>
      </c>
    </row>
    <row r="30" ht="16" customHeight="1">
      <c r="A30" s="4" t="inlineStr">
        <is>
          <t>tweet · action while open, timed</t>
        </is>
      </c>
      <c r="B30" s="8" t="inlineStr">
        <is>
          <t>Closes {close_date} at {close_time}. Buy {a_unit}: {link}</t>
        </is>
      </c>
      <c r="C30" s="10">
        <f>SUBSTITUTE(SUBSTITUTE(SUBSTITUTE(SUBSTITUTE(B30,"{link}",Inputs!$B$8),"{a_unit}",Inputs!$B$48),"{close_date}",Inputs!$B$68),"{close_time}",Inputs!$B$69)</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SUBSTITUTE(SUBSTITUTE(B34,"{close_date}",Inputs!$B$68),"{close_time}",Inputs!$B$69)</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SUBSTITUTE(SUBSTITUTE(B36,"{artist}",Inputs!$B$4),"{a_unit}",Inputs!$B$48)</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SUBSTITUTE(SUBSTITUTE(B40,"{artist}",Inputs!$B$4),"{edition_phrase_cap}",Inputs!$B$73)</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SUBSTITUTE(SUBSTITUTE(SUBSTITUTE(SUBSTITUTE(B41,"{collab_with}",Inputs!$B$5),"{work_intro}",Inputs!$B$53),"{support}",Inputs!$B$54),"{ordinal}",Inputs!$B$10)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SUBSTITUTE(SUBSTITUTE(SUBSTITUTE(SUBSTITUTE(B42,"{window}",Inputs!$B$19),"{launch_time}",Inputs!$B$65),"{launch_weekday}",Inputs!$B$66),"{launch_date_dd}",Inputs!$B$67)</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SUBSTITUTE(SUBSTITUTE(SUBSTITUTE(SUBSTITUTE(B50,"{collab_with}",Inputs!$B$5),"{ordinal}",Inputs!$B$10),"{window}",Inputs!$B$19),"{launch_time}",Inputs!$B$65)</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SUBSTITUTE(SUBSTITUTE(SUBSTITUTE(SUBSTITUTE(B54,"{collab_with}",Inputs!$B$5),"{work_intro}",Inputs!$B$53),"{support}",Inputs!$B$54),"{ordinal}",Inputs!$B$10)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SUBSTITUTE(B55,"{launch_date}",Inputs!$B$64)</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SUBSTITUTE(SUBSTITUTE(SUBSTITUTE(SUBSTITUTE(B57,"{collab_with}",Inputs!$B$5),"{work_intro}",Inputs!$B$53),"{support}",Inputs!$B$54),"{ordinal}",Inputs!$B$10)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SUBSTITUTE(B58,"{launch_date}",Inputs!$B$64)</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SUBSTITUTE(SUBSTITUTE(B59,"{window}",Inputs!$B$19),"{launch_time}",Inputs!$B$65)</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SUBSTITUTE(SUBSTITUTE(SUBSTITUTE(SUBSTITUTE(SUBSTITUTE(B64,"{collab_with}",Inputs!$B$5),"{work_intro}",Inputs!$B$53),"{support}",Inputs!$B$54),"{ordinal}",Inputs!$B$10),"{window}",Inputs!$B$19)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SUBSTITUTE(SUBSTITUTE(SUBSTITUTE(SUBSTITUTE(B65,"{close_time}",Inputs!$B$69),"{close_weekday}",Inputs!$B$70),"{close_date_dd}",Inputs!$B$71),"{add_what}",Inputs!$B$79)</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SUBSTITUTE(B67,"{a_unit}",Inputs!$B$48)</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SUBSTITUTE(SUBSTITUTE(B70,"{artist}",Inputs!$B$4),"{collect_phrase}",Inputs!$B$72)</f>
        <v/>
      </c>
    </row>
    <row r="71" ht="32" customHeight="1">
      <c r="A71" s="4" t="inlineStr">
        <is>
          <t>email · 3 days · 2</t>
        </is>
      </c>
      <c r="B71" s="8" t="inlineStr">
        <is>
          <t>Click the link to collect before {close_time} on {close_weekday}, {close_date_dd}.</t>
        </is>
      </c>
      <c r="C71" s="10">
        <f>SUBSTITUTE(SUBSTITUTE(SUBSTITUTE(B71,"{close_time}",Inputs!$B$69),"{close_weekday}",Inputs!$B$70),"{close_date_dd}",Inputs!$B$71)</f>
        <v/>
      </c>
    </row>
    <row r="72" ht="16" customHeight="1">
      <c r="A72" s="4" t="inlineStr">
        <is>
          <t>email · days to go · footer</t>
        </is>
      </c>
      <c r="B72" s="8" t="inlineStr">
        <is>
          <t>Add {a_unit} to your collection</t>
        </is>
      </c>
      <c r="C72" s="10">
        <f>SUBSTITUTE(B72,"{a_unit}",Inputs!$B$48)</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SUBSTITUTE(SUBSTITUTE(SUBSTITUTE(SUBSTITUTE(SUBSTITUTE(SUBSTITUTE(B74,"{collab_with}",Inputs!$B$5),"{collect_phrase}",Inputs!$B$72),"{ordinal}",Inputs!$B$10),"{close_time}",Inputs!$B$69),"{close_weekday}",Inputs!$B$70),"{close_date_dd}",Inputs!$B$71)</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SUBSTITUTE(SUBSTITUTE(B75,"{each_artwork}",Inputs!$B$77),"{work_word}",Inputs!$B$78)</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SUBSTITUTE(SUBSTITUTE(SUBSTITUTE(B76,"{artist}",Inputs!$B$4),"{work_email}",Inputs!$B$51),"{collect_phrase}",Inputs!$B$72)</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SUBSTITUTE(SUBSTITUTE(SUBSTITUTE(B77,"{close_time}",Inputs!$B$69),"{close_weekday}",Inputs!$B$70),"{close_date_dd}",Inputs!$B$71)</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SUBSTITUTE(SUBSTITUTE(SUBSTITUTE(B90,"{collab_with}",Inputs!$B$5),"{work_intro}",Inputs!$B$53),"{support}",Inputs!$B$54)</f>
        <v/>
      </c>
    </row>
    <row r="91" ht="32" customHeight="1">
      <c r="A91" s="4" t="inlineStr">
        <is>
          <t>email · monthly preview · when, draw</t>
        </is>
      </c>
      <c r="B91" s="8" t="inlineStr">
        <is>
          <t>The edition will be allocated by a randomised draw, which closes at {close_time} on {close_date}.</t>
        </is>
      </c>
      <c r="C91" s="10">
        <f>SUBSTITUTE(SUBSTITUTE(B91,"{close_date}",Inputs!$B$68),"{close_time}",Inputs!$B$69)</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SUBSTITUTE(SUBSTITUTE(SUBSTITUTE(SUBSTITUTE(B92,"{window}",Inputs!$B$19),"{launch_time}",Inputs!$B$65),"{launch_weekday}",Inputs!$B$66),"{launch_date_dd}",Inputs!$B$67)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Inputs!$B$57</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Lines!$C$15&amp;IF(Inputs!$B$58,"",IF(Inputs!$B$56="","","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Inputs!$B$63</f>
        <v/>
      </c>
      <c r="G6" s="11">
        <f>Lines!$C$15&amp;IF(Inputs!$B$56="","","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IF(Inputs!$B$42="","",Lines!$C$15&amp;IF(Inputs!$B$56="","","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IF(Inputs!$B$18="draw","",Lines!$C$15&amp;IF(Inputs!$B$56="","","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IF(Inputs!$B$18="draw","",Lines!$C$15&amp;IF(Inputs!$B$56="","","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Lines!$C$15&amp;IF(Inputs!$B$56="","","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"&amp;Inputs!$B$68&amp;".","Launching "&amp;Inputs!$B$64&amp;". Register for updates."))</f>
        <v/>
      </c>
      <c r="G4" s="11">
        <f>IF($D4&lt;&gt;"yes","",IF(Inputs!$B$18="draw","Enter the draw","Launching "&amp;Inputs!$B$64))</f>
        <v/>
      </c>
      <c r="H4" s="11">
        <f>IF($D4&lt;&gt;"yes","",IF(Inputs!$B$18="draw",Inputs!$B$52,Inputs!$B$52&amp;" by "&amp;Inputs!$B$4))</f>
        <v/>
      </c>
      <c r="I4" s="11">
        <f>IF($D4&lt;&gt;"yes","",(Lines!$C$41&amp;IF(Inputs!$B$36="","",CHAR(10)&amp;CHAR(10)&amp;Inputs!$B$36)&amp;IF(Inputs!$B$62="","",CHAR(10)&amp;CHAR(10)&amp;Inputs!$B$62)&amp;IF(Inputs!$B$60="","",CHAR(10)&amp;CHAR(10)&amp;Inputs!$B$60)&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IF($D4&lt;&gt;"yes","",Inputs!$B$75)</f>
        <v/>
      </c>
      <c r="L4" s="11">
        <f>IF($D4&lt;&gt;"yes","",Inputs!$B$76)</f>
        <v/>
      </c>
      <c r="M4" s="11">
        <f>IF($D4&lt;&gt;"yes","",IF(Inputs!$B$18="draw","Collect "&amp;Inputs!$B$72,"Launching "&amp;Inputs!$B$64))</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$61="","",CHAR(10)&amp;CHAR(10)&amp;Inputs!$B$61)&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$61="","",CHAR(10)&amp;CHAR(10)&amp;Inputs!$B$61)&amp;IF(Lines!$C$52="","",CHAR(10)&amp;CHAR(10)&amp;Lines!$C$52)&amp;IF(Lines!$C$53="","",CHAR(10)&amp;CHAR(10)&amp;Lines!$C$53)&amp;IF(Lines!$C$35="","",CHAR(10)&amp;CHAR(10)&amp;Lines!$C$35)&amp;IF(Lines!$C$33="","",CHAR(10)&amp;CHAR(10)&amp;Lines!$C$33)))</f>
        <v/>
      </c>
      <c r="J7" s="11">
        <f>IF($D7&lt;&gt;"yes","","Unlock early access")</f>
        <v/>
      </c>
      <c r="K7" s="11">
        <f>IF($D7&lt;&gt;"yes","",Inputs!$B$75)</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IF($D8&lt;&gt;"yes","",Inputs!$B$75)</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IF($D9&lt;&gt;"yes","",Inputs!$B$75)</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IF($D10&lt;&gt;"yes","",Inputs!$B$74&amp;", starting now.")</f>
        <v/>
      </c>
      <c r="G10" s="11">
        <f>IF($D10&lt;&gt;"yes","",Lines!$C$36)</f>
        <v/>
      </c>
      <c r="H10" s="11">
        <f>IF($D10&lt;&gt;"yes","",Inputs!$B$74&amp;", starting now")</f>
        <v/>
      </c>
      <c r="I10" s="11">
        <f>IF($D10&lt;&gt;"yes","",(Lines!$C$64&amp;IF(Inputs!$B$36="","",CHAR(10)&amp;CHAR(10)&amp;Inputs!$B$36)&amp;IF(Inputs!$B$62="","",CHAR(10)&amp;CHAR(10)&amp;Inputs!$B$62)&amp;IF(Inputs!$B$61="","",CHAR(10)&amp;CHAR(10)&amp;Inputs!$B$61)&amp;IF(Lines!$C$65="","",CHAR(10)&amp;CHAR(10)&amp;Lines!$C$65)&amp;IF(IF(Inputs!$B$26="","",Lines!$C$37)="","",CHAR(10)&amp;CHAR(10)&amp;IF(Inputs!$B$26="","",Lines!$C$37))))</f>
        <v/>
      </c>
      <c r="J10" s="11">
        <f>IF($D10&lt;&gt;"yes","","Buy now")</f>
        <v/>
      </c>
      <c r="K10" s="11">
        <f>IF($D10&lt;&gt;"yes","",Inputs!$B$75)</f>
        <v/>
      </c>
      <c r="L10" s="11">
        <f>IF($D10&lt;&gt;"yes","",Inputs!$B$76)</f>
        <v/>
      </c>
      <c r="M10" s="11">
        <f>IF($D10&lt;&gt;"yes","","Collect "&amp;Inputs!$B$72)</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"&amp;Inputs!$B$48)</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"&amp;Inputs!$B$48)</f>
        <v/>
      </c>
      <c r="K13" s="11">
        <f>IF($D13&lt;&gt;"yes","",Inputs!$B$75)</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"&amp;Inputs!$B$69&amp;" on "&amp;Inputs!$B$68&amp;".","Time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IF($D14&lt;&gt;"yes","",Inputs!$B$75)</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$62="","",CHAR(10)&amp;CHAR(10)&amp;Inputs!$B$62)&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2026-09-16T14:43:54Z</dcterms:created>
  <dcterms:modified xsi:type="dcterms:W3CDTF">2026-09-16T14:43:54Z</dcterms:modified>
</cp:coreProperties>
</file>