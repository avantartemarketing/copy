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Emails" sheetId="4" state="visible" r:id="rId4"/>
    <sheet name="Rules" sheetId="5" state="visible" r:id="rId5"/>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t>
        </is>
      </c>
    </row>
    <row r="5">
      <c r="A5" s="4" t="inlineStr">
        <is>
          <t>handle</t>
        </is>
      </c>
      <c r="B5" s="5" t="inlineStr">
        <is>
          <t>alanmeasles</t>
        </is>
      </c>
      <c r="C5" s="2" t="inlineStr">
        <is>
          <t>Instagram handle, blank if none</t>
        </is>
      </c>
    </row>
    <row r="6">
      <c r="A6" s="4" t="inlineStr">
        <is>
          <t>hashtag</t>
        </is>
      </c>
      <c r="B6" s="5" t="inlineStr">
        <is>
          <t>GraysonPerry</t>
        </is>
      </c>
      <c r="C6" s="2" t="inlineStr">
        <is>
          <t>announcement post only; blank for none</t>
        </is>
      </c>
    </row>
    <row r="7">
      <c r="A7" s="4" t="inlineStr">
        <is>
          <t>ordinal</t>
        </is>
      </c>
      <c r="B7" s="5" t="inlineStr">
        <is>
          <t>latest</t>
        </is>
      </c>
      <c r="C7" s="2" t="inlineStr">
        <is>
          <t>debut, latest or second</t>
        </is>
      </c>
    </row>
    <row r="8">
      <c r="A8" s="4" t="inlineStr">
        <is>
          <t>title</t>
        </is>
      </c>
      <c r="B8" s="5" t="inlineStr">
        <is>
          <t>The Changeling</t>
        </is>
      </c>
      <c r="C8" s="2" t="inlineStr">
        <is>
          <t>exactly as it appears; for a series with one shared title, give the series name</t>
        </is>
      </c>
    </row>
    <row r="9">
      <c r="A9" s="4" t="inlineStr">
        <is>
          <t>is_series</t>
        </is>
      </c>
      <c r="B9" s="5" t="inlineStr">
        <is>
          <t>no</t>
        </is>
      </c>
      <c r="C9" s="2" t="inlineStr">
        <is>
          <t>yes when the works share one title</t>
        </is>
      </c>
    </row>
    <row r="10">
      <c r="A10" s="4" t="inlineStr">
        <is>
          <t>edition_phrase</t>
        </is>
      </c>
      <c r="B10" s="5" t="inlineStr">
        <is>
          <t>a new limited edition print</t>
        </is>
      </c>
      <c r="C10" s="2" t="inlineStr">
        <is>
          <t>e.g. a trio of limited edition prints; six new limited edition prints</t>
        </is>
      </c>
    </row>
    <row r="11">
      <c r="A11" s="4" t="inlineStr">
        <is>
          <t>works</t>
        </is>
      </c>
      <c r="B11" s="5" t="n">
        <v>1</v>
      </c>
      <c r="C11" s="2" t="inlineStr">
        <is>
          <t>number of works</t>
        </is>
      </c>
    </row>
    <row r="12">
      <c r="A12" s="4" t="inlineStr">
        <is>
          <t>mechanic</t>
        </is>
      </c>
      <c r="B12" s="5" t="inlineStr">
        <is>
          <t>timed</t>
        </is>
      </c>
      <c r="C12" s="2" t="inlineStr">
        <is>
          <t>timed (TL) or draw (LE)</t>
        </is>
      </c>
    </row>
    <row r="13">
      <c r="A13" s="4" t="inlineStr">
        <is>
          <t>window</t>
        </is>
      </c>
      <c r="B13" s="5" t="inlineStr">
        <is>
          <t>one week</t>
        </is>
      </c>
      <c r="C13" s="2" t="inlineStr">
        <is>
          <t>48 hours or one week; timed only</t>
        </is>
      </c>
    </row>
    <row r="14">
      <c r="A14" s="4" t="inlineStr">
        <is>
          <t>launch_at</t>
        </is>
      </c>
      <c r="B14" s="6" t="n">
        <v>46142.58333333334</v>
      </c>
      <c r="C14" s="2" t="inlineStr">
        <is>
          <t>date and time the window opens, or the draw opens (UK)</t>
        </is>
      </c>
    </row>
    <row r="15">
      <c r="A15" s="4" t="inlineStr">
        <is>
          <t>closes_at</t>
        </is>
      </c>
      <c r="B15" s="6" t="n">
        <v>46149.58333333334</v>
      </c>
      <c r="C15" s="2" t="inlineStr">
        <is>
          <t>date and time the window or draw closes (UK)</t>
        </is>
      </c>
    </row>
    <row r="16">
      <c r="A16" s="4" t="inlineStr">
        <is>
          <t>beneficiary</t>
        </is>
      </c>
      <c r="B16" s="5" t="inlineStr">
        <is>
          <t>the Foundling Museum</t>
        </is>
      </c>
      <c r="C16" s="2" t="inlineStr">
        <is>
          <t>as it reads mid-sentence; blank if none</t>
        </is>
      </c>
    </row>
    <row r="17">
      <c r="A17" s="4" t="inlineStr">
        <is>
          <t>beneficiary_handle</t>
        </is>
      </c>
      <c r="B17" s="5" t="inlineStr">
        <is>
          <t>foundlingmuseum</t>
        </is>
      </c>
      <c r="C17" s="2" t="inlineStr">
        <is>
          <t>blank if none</t>
        </is>
      </c>
    </row>
    <row r="18">
      <c r="A18" s="4" t="inlineStr">
        <is>
          <t>advisor</t>
        </is>
      </c>
      <c r="B18" s="5" t="inlineStr">
        <is>
          <t>Sam</t>
        </is>
      </c>
      <c r="C18" s="2" t="inlineStr">
        <is>
          <t>signs the Insiders email and the first-time collector survey: Sofiya, Curtis or Sam</t>
        </is>
      </c>
    </row>
    <row r="19">
      <c r="A19" s="4" t="inlineStr">
        <is>
          <t>early_access_code</t>
        </is>
      </c>
      <c r="B19" s="5" t="inlineStr">
        <is>
          <t>000-000</t>
        </is>
      </c>
      <c r="C19" s="2" t="inlineStr">
        <is>
          <t>draw releases</t>
        </is>
      </c>
    </row>
    <row r="20">
      <c r="A20" s="4" t="inlineStr">
        <is>
          <t>feature_1</t>
        </is>
      </c>
      <c r="B20" s="5" t="inlineStr">
        <is>
          <t>Signed by the artist</t>
        </is>
      </c>
      <c r="C20" s="2" t="inlineStr">
        <is>
          <t>the standard three; clear a cell to drop it</t>
        </is>
      </c>
    </row>
    <row r="21">
      <c r="A21" s="4" t="inlineStr">
        <is>
          <t>feature_2</t>
        </is>
      </c>
      <c r="B21" s="5" t="inlineStr">
        <is>
          <t>Individually numbered</t>
        </is>
      </c>
      <c r="C21" s="2" t="inlineStr"/>
    </row>
    <row r="22">
      <c r="A22" s="4" t="inlineStr">
        <is>
          <t>feature_3</t>
        </is>
      </c>
      <c r="B22" s="5" t="inlineStr">
        <is>
          <t>Free worldwide shipping</t>
        </is>
      </c>
      <c r="C22" s="2" t="inlineStr"/>
    </row>
    <row r="23">
      <c r="A23" s="4" t="inlineStr">
        <is>
          <t>feature_4</t>
        </is>
      </c>
      <c r="B23" s="5" t="inlineStr"/>
      <c r="C23" s="2" t="inlineStr">
        <is>
          <t>bespoke, e.g. Hand-finished by the artist. Never 'our'.</t>
        </is>
      </c>
    </row>
    <row r="24">
      <c r="A24" s="4" t="inlineStr">
        <is>
          <t>feature_5</t>
        </is>
      </c>
      <c r="B24" s="5" t="inlineStr"/>
      <c r="C24" s="2" t="inlineStr">
        <is>
          <t>bespoke, e.g. Available individually or as a set</t>
        </is>
      </c>
    </row>
    <row r="26">
      <c r="A26" s="7" t="inlineStr">
        <is>
          <t>Fragments, written once per release. Voice-neutral: no we or our, no artist name in the hook or making line.</t>
        </is>
      </c>
    </row>
    <row r="27" ht="128" customHeight="1">
      <c r="A27" s="4" t="inlineStr">
        <is>
          <t>bio</t>
        </is>
      </c>
      <c r="B27"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27" s="9" t="inlineStr">
        <is>
          <t>2 to 3 sentences on the artist, third person, no handle. Coming Soon post only.</t>
        </is>
      </c>
    </row>
    <row r="28" ht="48" customHeight="1">
      <c r="A28" s="4" t="inlineStr">
        <is>
          <t>hook</t>
        </is>
      </c>
      <c r="B28" s="8" t="inlineStr">
        <is>
          <t>The Changeling portrays a child as a symbol of modern youth, exploring how technology shapes today's generations. It reimagines changeling folklore for the digital age, and is intended to be 'quite disturbing'.</t>
        </is>
      </c>
      <c r="C28" s="9" t="inlineStr">
        <is>
          <t>1 to 2 sentences about the work only. Reused in every post and email.</t>
        </is>
      </c>
    </row>
    <row r="29" ht="32" customHeight="1">
      <c r="A29" s="4" t="inlineStr">
        <is>
          <t>making</t>
        </is>
      </c>
      <c r="B29" s="8" t="inlineStr">
        <is>
          <t>To create the edition, printmakers at Make-Ready translated a new design into a 9-colour silkscreen, capturing the vivid detail of the original drawing.</t>
        </is>
      </c>
      <c r="C29" s="9" t="inlineStr">
        <is>
          <t>one sentence, written as 'printmakers at Make-Ready'; the sheet adds 'our'.</t>
        </is>
      </c>
    </row>
    <row r="30" ht="32" customHeight="1">
      <c r="A30" s="4" t="inlineStr">
        <is>
          <t>quote</t>
        </is>
      </c>
      <c r="B30" s="8" t="inlineStr">
        <is>
          <t>Beauty and seriousness are perhaps the most shocking tactics left to artists these days.</t>
        </is>
      </c>
      <c r="C30" s="9" t="inlineStr">
        <is>
          <t>verbatim, a complete sentence, or blank</t>
        </is>
      </c>
    </row>
    <row r="32">
      <c r="A32" s="7" t="inlineStr">
        <is>
          <t>Derived (formulas, do not edit)</t>
        </is>
      </c>
    </row>
    <row r="33">
      <c r="A33" s="4" t="inlineStr">
        <is>
          <t>named</t>
        </is>
      </c>
      <c r="B33" s="10">
        <f>$B$4&amp;IF($B$5="",""," (@"&amp;$B$5&amp;")")</f>
        <v/>
      </c>
    </row>
    <row r="34">
      <c r="A34" s="4" t="inlineStr">
        <is>
          <t>work</t>
        </is>
      </c>
      <c r="B34" s="10">
        <f>IF($B$9="yes","the "&amp;$B$8&amp;" series","‘"&amp;$B$8&amp;"’")</f>
        <v/>
      </c>
    </row>
    <row r="35">
      <c r="A35" s="4" t="inlineStr">
        <is>
          <t>Work</t>
        </is>
      </c>
      <c r="B35" s="10">
        <f>UPPER(LEFT($B$34,1))&amp;MID($B$34,2,999)</f>
        <v/>
      </c>
    </row>
    <row r="36">
      <c r="A36" s="4" t="inlineStr">
        <is>
          <t>work_email</t>
        </is>
      </c>
      <c r="B36" s="10">
        <f>IF($B$9="yes","the "&amp;$B$8&amp;" series",$B$8)</f>
        <v/>
      </c>
    </row>
    <row r="37">
      <c r="A37" s="4" t="inlineStr">
        <is>
          <t>Work_email</t>
        </is>
      </c>
      <c r="B37" s="10">
        <f>UPPER(LEFT($B$36,1))&amp;MID($B$36,2,999)</f>
        <v/>
      </c>
    </row>
    <row r="38">
      <c r="A38" s="4" t="inlineStr">
        <is>
          <t>work_intro</t>
        </is>
      </c>
      <c r="B38" s="10">
        <f>IF($B$9="yes",$B$10&amp;" from the "&amp;$B$8&amp;" series",IF($B$11=1,$B$8&amp;", "&amp;$B$10,$B$10))</f>
        <v/>
      </c>
    </row>
    <row r="39">
      <c r="A39" s="4" t="inlineStr">
        <is>
          <t>support</t>
        </is>
      </c>
      <c r="B39" s="10">
        <f>IF(OR($B$16="",$B$42),"",", released in support of "&amp;$B$16)</f>
        <v/>
      </c>
    </row>
    <row r="40">
      <c r="A40" s="4" t="inlineStr">
        <is>
          <t>beneficiary_tagged</t>
        </is>
      </c>
      <c r="B40" s="10">
        <f>IF($B$16="","",$B$16&amp;IF($B$17="",""," (@"&amp;$B$17&amp;")"))</f>
        <v/>
      </c>
    </row>
    <row r="41" ht="80" customHeight="1">
      <c r="A41" s="4" t="inlineStr">
        <is>
          <t>bio_tagged</t>
        </is>
      </c>
      <c r="B41" s="10">
        <f>IF($B$5="",$B$27,SUBSTITUTE($B$27,$B$4,$B$33,1))</f>
        <v/>
      </c>
    </row>
    <row r="42">
      <c r="A42" s="4" t="inlineStr">
        <is>
          <t>hook_names_beneficiary</t>
        </is>
      </c>
      <c r="B42" s="10">
        <f>IF($B$16="",FALSE,ISNUMBER(SEARCH($B$16,$B$28)))</f>
        <v/>
      </c>
    </row>
    <row r="43">
      <c r="A43" s="4" t="inlineStr">
        <is>
          <t>features</t>
        </is>
      </c>
      <c r="B43" s="10">
        <f>$B$20&amp;IF($B$21="","",". "&amp;$B$21)&amp;IF($B$22="","",". "&amp;$B$22)&amp;IF($B$23="","",". "&amp;$B$23)&amp;IF($B$24="","",". "&amp;$B$24)&amp;"."</f>
        <v/>
      </c>
    </row>
    <row r="44" ht="60" customHeight="1">
      <c r="A44" s="4" t="inlineStr">
        <is>
          <t>features_list</t>
        </is>
      </c>
      <c r="B44" s="10">
        <f>"· "&amp;$B$20&amp;IF($B$21="","",CHAR(10)&amp;"· "&amp;$B$21)&amp;IF($B$22="","",CHAR(10)&amp;"· "&amp;$B$22)&amp;IF($B$23="","",CHAR(10)&amp;"· "&amp;$B$23)&amp;IF($B$24="","",CHAR(10)&amp;"· "&amp;$B$24)</f>
        <v/>
      </c>
    </row>
    <row r="45" ht="70" customHeight="1">
      <c r="A45" s="4" t="inlineStr">
        <is>
          <t>features_list_support</t>
        </is>
      </c>
      <c r="B45" s="10">
        <f>$B$44&amp;IF(OR($B$16="",$B$42),"",CHAR(10)&amp;"· Released in support of "&amp;$B$16)</f>
        <v/>
      </c>
    </row>
    <row r="46">
      <c r="A46" s="4" t="inlineStr">
        <is>
          <t>making_ours</t>
        </is>
      </c>
      <c r="B46" s="10">
        <f>SUBSTITUTE($B$29,"printmakers at Make-Ready","our printmakers at Make-Ready")</f>
        <v/>
      </c>
    </row>
    <row r="47">
      <c r="A47" s="4" t="inlineStr">
        <is>
          <t>making_ours_tagged</t>
        </is>
      </c>
      <c r="B47" s="10">
        <f>SUBSTITUTE($B$29,"printmakers at Make-Ready","our printmakers at Make-Ready (@make__ready)")</f>
        <v/>
      </c>
    </row>
    <row r="48">
      <c r="A48" s="4" t="inlineStr">
        <is>
          <t>launch_date</t>
        </is>
      </c>
      <c r="B48" s="10">
        <f>TEXT($B$14,"d mmmm")</f>
        <v/>
      </c>
    </row>
    <row r="49">
      <c r="A49" s="4" t="inlineStr">
        <is>
          <t>launch_time</t>
        </is>
      </c>
      <c r="B49" s="10">
        <f>TEXT($B$14,"hh:mm")&amp;" UK time"</f>
        <v/>
      </c>
    </row>
    <row r="50">
      <c r="A50" s="4" t="inlineStr">
        <is>
          <t>launch_weekday</t>
        </is>
      </c>
      <c r="B50" s="10">
        <f>TEXT($B$14,"dddd")</f>
        <v/>
      </c>
    </row>
    <row r="51">
      <c r="A51" s="4" t="inlineStr">
        <is>
          <t>launch_date_dd</t>
        </is>
      </c>
      <c r="B51" s="10">
        <f>TEXT($B$14,"dd mmmm")</f>
        <v/>
      </c>
    </row>
    <row r="52">
      <c r="A52" s="4" t="inlineStr">
        <is>
          <t>close_date</t>
        </is>
      </c>
      <c r="B52" s="10">
        <f>TEXT($B$15,"d mmmm")</f>
        <v/>
      </c>
    </row>
    <row r="53">
      <c r="A53" s="4" t="inlineStr">
        <is>
          <t>close_time</t>
        </is>
      </c>
      <c r="B53" s="10">
        <f>TEXT($B$15,"hh:mm")&amp;" UK time"</f>
        <v/>
      </c>
    </row>
    <row r="54">
      <c r="A54" s="4" t="inlineStr">
        <is>
          <t>close_weekday</t>
        </is>
      </c>
      <c r="B54" s="10">
        <f>TEXT($B$15,"dddd")</f>
        <v/>
      </c>
    </row>
    <row r="55">
      <c r="A55" s="4" t="inlineStr">
        <is>
          <t>close_date_dd</t>
        </is>
      </c>
      <c r="B55" s="10">
        <f>TEXT($B$15,"dd mmmm")</f>
        <v/>
      </c>
    </row>
    <row r="56">
      <c r="A56" s="4" t="inlineStr">
        <is>
          <t>collect_phrase</t>
        </is>
      </c>
      <c r="B56" s="10">
        <f>SUBSTITUTE($B$10," new "," ")</f>
        <v/>
      </c>
    </row>
    <row r="57">
      <c r="A57" s="4" t="inlineStr">
        <is>
          <t>edition_phrase_cap</t>
        </is>
      </c>
      <c r="B57" s="10">
        <f>UPPER(LEFT($B$10,1))&amp;MID($B$10,2,999)</f>
        <v/>
      </c>
    </row>
    <row r="58">
      <c r="A58" s="4" t="inlineStr">
        <is>
          <t>window_cap</t>
        </is>
      </c>
      <c r="B58" s="10">
        <f>UPPER(LEFT($B$13,1))&amp;MID($B$13,2,999)</f>
        <v/>
      </c>
    </row>
    <row r="59">
      <c r="A59" s="4" t="inlineStr">
        <is>
          <t>card_line</t>
        </is>
      </c>
      <c r="B59" s="10">
        <f>$B$57&amp;" by "&amp;$B$4&amp;"."</f>
        <v/>
      </c>
    </row>
    <row r="60">
      <c r="A60" s="4" t="inlineStr">
        <is>
          <t>card</t>
        </is>
      </c>
      <c r="B60" s="10">
        <f>$B$8&amp;CHAR(10)&amp;$B$59</f>
        <v/>
      </c>
    </row>
    <row r="61">
      <c r="A61" s="4" t="inlineStr">
        <is>
          <t>quote_line</t>
        </is>
      </c>
      <c r="B61" s="10">
        <f>IF($B$30="","","“"&amp;$B$30&amp;"” – "&amp;$B$4)</f>
        <v/>
      </c>
    </row>
    <row r="62">
      <c r="A62" s="4" t="inlineStr">
        <is>
          <t>each_artwork</t>
        </is>
      </c>
      <c r="B62" s="10">
        <f>IF($B$11&gt;1," for each artwork","")</f>
        <v/>
      </c>
    </row>
    <row r="63">
      <c r="A63" s="4" t="inlineStr">
        <is>
          <t>work_word</t>
        </is>
      </c>
      <c r="B63" s="10">
        <f>IF($B$11&gt;1,"works","work")</f>
        <v/>
      </c>
    </row>
    <row r="64">
      <c r="A64" s="4" t="inlineStr">
        <is>
          <t>add_what</t>
        </is>
      </c>
      <c r="B64" s="10">
        <f>IF($B$11&gt;1,"a print",$B$36)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SUBSTITUTE(B5,"{ordinal}",Inputs!$B$7)</f>
        <v/>
      </c>
    </row>
    <row r="6" ht="16" customHeight="1">
      <c r="A6" s="4" t="inlineStr">
        <is>
          <t>post · announce · status</t>
        </is>
      </c>
      <c r="B6" s="8" t="inlineStr">
        <is>
          <t>Announcing {work}, {edition_phrase} by {named}.</t>
        </is>
      </c>
      <c r="C6" s="10">
        <f>SUBSTITUTE(SUBSTITUTE(SUBSTITUTE(B6,"{named}",Inputs!$B$33),"{work}",Inputs!$B$34),"{edition_phrase}",Inputs!$B$10)</f>
        <v/>
      </c>
    </row>
    <row r="7" ht="16" customHeight="1">
      <c r="A7" s="4" t="inlineStr">
        <is>
          <t>post · announce · status, series</t>
        </is>
      </c>
      <c r="B7" s="8" t="inlineStr">
        <is>
          <t>Announcing {edition_phrase} by {named}, from {work}.</t>
        </is>
      </c>
      <c r="C7" s="10">
        <f>SUBSTITUTE(SUBSTITUTE(SUBSTITUTE(B7,"{named}",Inputs!$B$33),"{work}",Inputs!$B$34),"{edition_phrase}",Inputs!$B$10)</f>
        <v/>
      </c>
    </row>
    <row r="8" ht="16" customHeight="1">
      <c r="A8" s="4" t="inlineStr">
        <is>
          <t>post · sustain · status</t>
        </is>
      </c>
      <c r="B8" s="8" t="inlineStr">
        <is>
          <t>A closer look at {work}, {edition_phrase} by {named}.</t>
        </is>
      </c>
      <c r="C8" s="10">
        <f>SUBSTITUTE(SUBSTITUTE(SUBSTITUTE(B8,"{named}",Inputs!$B$33),"{work}",Inputs!$B$34),"{edition_phrase}",Inputs!$B$10)</f>
        <v/>
      </c>
    </row>
    <row r="9" ht="16" customHeight="1">
      <c r="A9" s="4" t="inlineStr">
        <is>
          <t>post · artist's words · status</t>
        </is>
      </c>
      <c r="B9" s="8" t="inlineStr">
        <is>
          <t>“{quote}” – {artist}</t>
        </is>
      </c>
      <c r="C9" s="10">
        <f>SUBSTITUTE(SUBSTITUTE(B9,"{artist}",Inputs!$B$4),"{quote}",Inputs!$B$30)</f>
        <v/>
      </c>
    </row>
    <row r="10" ht="16" customHeight="1">
      <c r="A10" s="4" t="inlineStr">
        <is>
          <t>post · artist's words · second line</t>
        </is>
      </c>
      <c r="B10" s="8" t="inlineStr">
        <is>
          <t>{Work}, {edition_phrase} by {named}.</t>
        </is>
      </c>
      <c r="C10" s="10">
        <f>SUBSTITUTE(SUBSTITUTE(SUBSTITUTE(B10,"{named}",Inputs!$B$33),"{Work}",Inputs!$B$35),"{edition_phrase}",Inputs!$B$10)</f>
        <v/>
      </c>
    </row>
    <row r="11" ht="16" customHeight="1">
      <c r="A11" s="4" t="inlineStr">
        <is>
          <t>post · live · status</t>
        </is>
      </c>
      <c r="B11" s="8" t="inlineStr">
        <is>
          <t>{Work} by {named} is now available to collect, for {window} only.</t>
        </is>
      </c>
      <c r="C11" s="10">
        <f>SUBSTITUTE(SUBSTITUTE(SUBSTITUTE(B11,"{named}",Inputs!$B$33),"{Work}",Inputs!$B$35),"{window}",Inputs!$B$13)</f>
        <v/>
      </c>
    </row>
    <row r="12" ht="16" customHeight="1">
      <c r="A12" s="4" t="inlineStr">
        <is>
          <t>post · still time · status</t>
        </is>
      </c>
      <c r="B12" s="8" t="inlineStr">
        <is>
          <t>There's still time to collect {work} by {named}.</t>
        </is>
      </c>
      <c r="C12" s="10">
        <f>SUBSTITUTE(SUBSTITUTE(B12,"{named}",Inputs!$B$33),"{work}",Inputs!$B$34)</f>
        <v/>
      </c>
    </row>
    <row r="13" ht="16" customHeight="1">
      <c r="A13" s="4" t="inlineStr">
        <is>
          <t>post · last chance · status</t>
        </is>
      </c>
      <c r="B13" s="8" t="inlineStr">
        <is>
          <t>Last chance to collect {work} by {named}.</t>
        </is>
      </c>
      <c r="C13" s="10">
        <f>SUBSTITUTE(SUBSTITUTE(B13,"{named}",Inputs!$B$33),"{work}",Inputs!$B$34)</f>
        <v/>
      </c>
    </row>
    <row r="14" ht="16" customHeight="1">
      <c r="A14" s="4" t="inlineStr">
        <is>
          <t>post · last chance · status, draw</t>
        </is>
      </c>
      <c r="B14" s="8" t="inlineStr">
        <is>
          <t>Last chance to enter the draw for {work} by {named}.</t>
        </is>
      </c>
      <c r="C14" s="10">
        <f>SUBSTITUTE(SUBSTITUTE(B14,"{named}",Inputs!$B$33),"{work}",Inputs!$B$34)</f>
        <v/>
      </c>
    </row>
    <row r="15" ht="16" customHeight="1">
      <c r="A15" s="4" t="inlineStr">
        <is>
          <t>post · features line</t>
        </is>
      </c>
      <c r="B15" s="8" t="inlineStr">
        <is>
          <t>{features}</t>
        </is>
      </c>
      <c r="C15" s="10">
        <f>SUBSTITUTE(B15,"{features}",Inputs!$B$43)</f>
        <v/>
      </c>
    </row>
    <row r="16" ht="16" customHeight="1">
      <c r="A16" s="4" t="inlineStr">
        <is>
          <t>post · beneficiary line</t>
        </is>
      </c>
      <c r="B16" s="8" t="inlineStr">
        <is>
          <t>Released in support of {beneficiary_tagged}.</t>
        </is>
      </c>
      <c r="C16" s="10">
        <f>SUBSTITUTE(B16,"{beneficiary_tagged}",Inputs!$B$40)</f>
        <v/>
      </c>
    </row>
    <row r="17" ht="32" customHeight="1">
      <c r="A17" s="4" t="inlineStr">
        <is>
          <t>post · action before launch, timed</t>
        </is>
      </c>
      <c r="B17" s="8" t="inlineStr">
        <is>
          <t>Available for {window} from {launch_time} on {launch_date}. Link in bio to get updates.</t>
        </is>
      </c>
      <c r="C17" s="10">
        <f>SUBSTITUTE(SUBSTITUTE(SUBSTITUTE(B17,"{window}",Inputs!$B$13),"{launch_date}",Inputs!$B$48),"{launch_time}",Inputs!$B$49)</f>
        <v/>
      </c>
    </row>
    <row r="18" ht="32" customHeight="1">
      <c r="A18" s="4" t="inlineStr">
        <is>
          <t>post · action before launch, draw</t>
        </is>
      </c>
      <c r="B18" s="8" t="inlineStr">
        <is>
          <t>Enter the draw via our link in bio. Closes {close_date} at {close_time}.</t>
        </is>
      </c>
      <c r="C18" s="10">
        <f>SUBSTITUTE(SUBSTITUTE(B18,"{close_date}",Inputs!$B$52),"{close_time}",Inputs!$B$53)</f>
        <v/>
      </c>
    </row>
    <row r="19" ht="16" customHeight="1">
      <c r="A19" s="4" t="inlineStr">
        <is>
          <t>post · action while open, timed</t>
        </is>
      </c>
      <c r="B19" s="8" t="inlineStr">
        <is>
          <t>Link in bio to buy a print. Closes {close_date} at {close_time}.</t>
        </is>
      </c>
      <c r="C19" s="10">
        <f>SUBSTITUTE(SUBSTITUTE(B19,"{close_date}",Inputs!$B$52),"{close_time}",Inputs!$B$53)</f>
        <v/>
      </c>
    </row>
    <row r="20" ht="32" customHeight="1">
      <c r="A20" s="4" t="inlineStr">
        <is>
          <t>post · action while open, draw</t>
        </is>
      </c>
      <c r="B20" s="8" t="inlineStr">
        <is>
          <t>Enter the draw via our link in bio. Closes {close_date} at {close_time}.</t>
        </is>
      </c>
      <c r="C20" s="10">
        <f>SUBSTITUTE(SUBSTITUTE(B20,"{close_date}",Inputs!$B$52),"{close_time}",Inputs!$B$53)</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SUBSTITUTE(B22,"{hashtag}",Inputs!$B$6)</f>
        <v/>
      </c>
    </row>
    <row r="23">
      <c r="A23" s="3" t="inlineStr">
        <is>
          <t>EMAILS · shared</t>
        </is>
      </c>
    </row>
    <row r="24" ht="16" customHeight="1">
      <c r="A24" s="4" t="inlineStr">
        <is>
          <t>email · greeting</t>
        </is>
      </c>
      <c r="B24" s="8" t="inlineStr">
        <is>
          <t>Hi {{ personalization_token('contact.firstname', 'there') }},</t>
        </is>
      </c>
      <c r="C24" s="10">
        <f>B24</f>
        <v/>
      </c>
    </row>
    <row r="25" ht="32" customHeight="1">
      <c r="A25" s="4" t="inlineStr">
        <is>
          <t>email · questions line</t>
        </is>
      </c>
      <c r="B25" s="8" t="inlineStr">
        <is>
          <t>If you have any questions, please don't hesitate to get in touch by replying to this email.</t>
        </is>
      </c>
      <c r="C25" s="10">
        <f>B25</f>
        <v/>
      </c>
    </row>
    <row r="26" ht="32" customHeight="1">
      <c r="A26" s="4" t="inlineStr">
        <is>
          <t>email · draw line</t>
        </is>
      </c>
      <c r="B26" s="8" t="inlineStr">
        <is>
          <t>Enter the draw for a chance to collect. Closes at {close_time} on {close_date}.</t>
        </is>
      </c>
      <c r="C26" s="10">
        <f>SUBSTITUTE(SUBSTITUTE(B26,"{close_date}",Inputs!$B$52),"{close_time}",Inputs!$B$53)</f>
        <v/>
      </c>
    </row>
    <row r="27" ht="64" customHeight="1">
      <c r="A27" s="4" t="inlineStr">
        <is>
          <t>email · edition numbers line</t>
        </is>
      </c>
      <c r="B27" s="8" t="inlineStr">
        <is>
          <t>Earlier orders will typically receive a lower edition number, with framed editions receiving lower edition numbers than unframed prints. You can read more on how we allocate edition numbers across a release here.</t>
        </is>
      </c>
      <c r="C27" s="10">
        <f>B27</f>
        <v/>
      </c>
    </row>
    <row r="28">
      <c r="A28" s="3" t="inlineStr">
        <is>
          <t>EMAILS · announcement</t>
        </is>
      </c>
    </row>
    <row r="29" ht="16" customHeight="1">
      <c r="A29" s="4" t="inlineStr">
        <is>
          <t>email · announce · subject</t>
        </is>
      </c>
      <c r="B29" s="8" t="inlineStr">
        <is>
          <t>{artist} – {edition_phrase_cap}</t>
        </is>
      </c>
      <c r="C29" s="10">
        <f>SUBSTITUTE(SUBSTITUTE(B29,"{artist}",Inputs!$B$4),"{edition_phrase_cap}",Inputs!$B$57)</f>
        <v/>
      </c>
    </row>
    <row r="30" ht="32" customHeight="1">
      <c r="A30" s="4" t="inlineStr">
        <is>
          <t>email · announce · opener</t>
        </is>
      </c>
      <c r="B30" s="8" t="inlineStr">
        <is>
          <t>We're delighted to announce our {ordinal} collaboration with {artist} – {work_intro}{support}.</t>
        </is>
      </c>
      <c r="C30" s="10">
        <f>SUBSTITUTE(SUBSTITUTE(SUBSTITUTE(SUBSTITUTE(B30,"{artist}",Inputs!$B$4),"{work_intro}",Inputs!$B$38),"{support}",Inputs!$B$39),"{ordinal}",Inputs!$B$7)</f>
        <v/>
      </c>
    </row>
    <row r="31" ht="32" customHeight="1">
      <c r="A31" s="4" t="inlineStr">
        <is>
          <t>email · announce · launch line, timed</t>
        </is>
      </c>
      <c r="B31" s="8" t="inlineStr">
        <is>
          <t>The edition will be available to collect for {window} only, starting at {launch_time} on {launch_weekday}, {launch_date_dd}.</t>
        </is>
      </c>
      <c r="C31" s="10">
        <f>SUBSTITUTE(SUBSTITUTE(SUBSTITUTE(SUBSTITUTE(B31,"{window}",Inputs!$B$13),"{launch_time}",Inputs!$B$49),"{launch_weekday}",Inputs!$B$50),"{launch_date_dd}",Inputs!$B$51)</f>
        <v/>
      </c>
    </row>
    <row r="32" ht="16" customHeight="1">
      <c r="A32" s="4" t="inlineStr">
        <is>
          <t>email · announce · register line</t>
        </is>
      </c>
      <c r="B32" s="8" t="inlineStr">
        <is>
          <t>Click below to learn more and register for updates.</t>
        </is>
      </c>
      <c r="C32" s="10">
        <f>B32</f>
        <v/>
      </c>
    </row>
    <row r="33">
      <c r="A33" s="3" t="inlineStr">
        <is>
          <t>EMAILS · welcome (TL flow)</t>
        </is>
      </c>
    </row>
    <row r="34" ht="32" customHeight="1">
      <c r="A34" s="4" t="inlineStr">
        <is>
          <t>email · welcome · 1</t>
        </is>
      </c>
      <c r="B34" s="8" t="inlineStr">
        <is>
          <t>Welcome {{ personalization_token('contact.firstname', 'to Avant Arte') }}!</t>
        </is>
      </c>
      <c r="C34" s="10">
        <f>B34</f>
        <v/>
      </c>
    </row>
    <row r="35" ht="64" customHeight="1">
      <c r="A35" s="4" t="inlineStr">
        <is>
          <t>email · welcome · 2</t>
        </is>
      </c>
      <c r="B35" s="8" t="inlineStr">
        <is>
          <t>Avant Arte began with a simple mission – to make collecting art more accessible. Since then, we've collaborated with hundreds of inspiring artists, from rising stars to icons like Ai Weiwei, Jenny Holzer, Lee Ufan and Carrie Mae Weems.</t>
        </is>
      </c>
      <c r="C35" s="10">
        <f>B35</f>
        <v/>
      </c>
    </row>
    <row r="36" ht="64" customHeight="1">
      <c r="A36" s="4" t="inlineStr">
        <is>
          <t>email · welcome · 3</t>
        </is>
      </c>
      <c r="B36" s="8" t="inlineStr">
        <is>
          <t>Our upcoming collaboration with {artist} is the latest in this lineage. If you're new to collecting art or curious about limited editions, our library of guides is a good place to start. In particular, How to collect art and What is an edition?</t>
        </is>
      </c>
      <c r="C36" s="10">
        <f>SUBSTITUTE(B36,"{artist}",Inputs!$B$4)</f>
        <v/>
      </c>
    </row>
    <row r="37" ht="32" customHeight="1">
      <c r="A37" s="4" t="inlineStr">
        <is>
          <t>email · welcome · 4</t>
        </is>
      </c>
      <c r="B37" s="8" t="inlineStr">
        <is>
          <t>Let us know if you have any questions. We're excited to see what you collect.</t>
        </is>
      </c>
      <c r="C37" s="10">
        <f>B37</f>
        <v/>
      </c>
    </row>
    <row r="38">
      <c r="A38" s="3" t="inlineStr">
        <is>
          <t>EMAILS · early access</t>
        </is>
      </c>
    </row>
    <row r="39" ht="32" customHeight="1">
      <c r="A39" s="4" t="inlineStr">
        <is>
          <t>email · early access, timed · opener</t>
        </is>
      </c>
      <c r="B39" s="8" t="inlineStr">
        <is>
          <t>Our {ordinal} collaboration with {artist} launches tomorrow at {launch_time} and will be available to collect for {window} only.</t>
        </is>
      </c>
      <c r="C39" s="10">
        <f>SUBSTITUTE(SUBSTITUTE(SUBSTITUTE(SUBSTITUTE(B39,"{artist}",Inputs!$B$4),"{ordinal}",Inputs!$B$7),"{window}",Inputs!$B$13),"{launch_time}",Inputs!$B$49)</f>
        <v/>
      </c>
    </row>
    <row r="40" ht="32" customHeight="1">
      <c r="A40" s="4" t="inlineStr">
        <is>
          <t>email · early access, timed · registered line</t>
        </is>
      </c>
      <c r="B40" s="8" t="inlineStr">
        <is>
          <t>As a thank you for registering for updates, we're offering you the chance to collect the release 24 hours before everyone else.</t>
        </is>
      </c>
      <c r="C40" s="10">
        <f>B40</f>
        <v/>
      </c>
    </row>
    <row r="41" ht="32" customHeight="1">
      <c r="A41" s="4" t="inlineStr">
        <is>
          <t>email · early access, timed · past collectors line</t>
        </is>
      </c>
      <c r="B41" s="8" t="inlineStr">
        <is>
          <t>As a previous collector of the artist, we're offering you the chance to order the collaboration 24 hours before everyone else.</t>
        </is>
      </c>
      <c r="C41" s="10">
        <f>B41</f>
        <v/>
      </c>
    </row>
    <row r="42" ht="16" customHeight="1">
      <c r="A42" s="4" t="inlineStr">
        <is>
          <t>email · early access, timed · unlock line</t>
        </is>
      </c>
      <c r="B42" s="8" t="inlineStr">
        <is>
          <t>Unlock early access using the link below.</t>
        </is>
      </c>
      <c r="C42" s="10">
        <f>B42</f>
        <v/>
      </c>
    </row>
    <row r="43" ht="32" customHeight="1">
      <c r="A43" s="4" t="inlineStr">
        <is>
          <t>email · early access, draw · 1</t>
        </is>
      </c>
      <c r="B43" s="8" t="inlineStr">
        <is>
          <t>We're currently preparing the launch of our {ordinal} collaboration with {artist} – {work_intro}{support}.</t>
        </is>
      </c>
      <c r="C43" s="10">
        <f>SUBSTITUTE(SUBSTITUTE(SUBSTITUTE(SUBSTITUTE(B43,"{artist}",Inputs!$B$4),"{work_intro}",Inputs!$B$38),"{support}",Inputs!$B$39),"{ordinal}",Inputs!$B$7)</f>
        <v/>
      </c>
    </row>
    <row r="44" ht="96" customHeight="1">
      <c r="A44" s="4" t="inlineStr">
        <is>
          <t>email · early access, draw · 2</t>
        </is>
      </c>
      <c r="B4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44" s="10">
        <f>SUBSTITUTE(B44,"{launch_date}",Inputs!$B$48)</f>
        <v/>
      </c>
    </row>
    <row r="45" ht="32" customHeight="1">
      <c r="A45" s="4" t="inlineStr">
        <is>
          <t>email · early access, draw · 3</t>
        </is>
      </c>
      <c r="B45" s="8" t="inlineStr">
        <is>
          <t>Explore the artwork and place your order via the private link below. Use code {early_access_code} to unlock early access.</t>
        </is>
      </c>
      <c r="C45" s="10">
        <f>SUBSTITUTE(B45,"{early_access_code}",Inputs!$B$19)</f>
        <v/>
      </c>
    </row>
    <row r="46" ht="32" customHeight="1">
      <c r="A46" s="4" t="inlineStr">
        <is>
          <t>email · insiders · opener</t>
        </is>
      </c>
      <c r="B46" s="8" t="inlineStr">
        <is>
          <t>I'm delighted to share our {ordinal} collaboration with {artist} – {work_intro}{support}.</t>
        </is>
      </c>
      <c r="C46" s="10">
        <f>SUBSTITUTE(SUBSTITUTE(SUBSTITUTE(SUBSTITUTE(B46,"{artist}",Inputs!$B$4),"{work_intro}",Inputs!$B$38),"{support}",Inputs!$B$39),"{ordinal}",Inputs!$B$7)</f>
        <v/>
      </c>
    </row>
    <row r="47" ht="64" customHeight="1">
      <c r="A47" s="4" t="inlineStr">
        <is>
          <t>email · insiders · mechanics, draw</t>
        </is>
      </c>
      <c r="B47" s="8" t="inlineStr">
        <is>
          <t>The edition will launch publicly on {launch_date} and will be allocated by a randomised draw. However, for the next 48 hours, I'm excited to offer you a first look, plus early access to a limited number of pre-orders.</t>
        </is>
      </c>
      <c r="C47" s="10">
        <f>SUBSTITUTE(B47,"{launch_date}",Inputs!$B$48)</f>
        <v/>
      </c>
    </row>
    <row r="48" ht="48" customHeight="1">
      <c r="A48" s="4" t="inlineStr">
        <is>
          <t>email · insiders · mechanics, timed</t>
        </is>
      </c>
      <c r="B48" s="8" t="inlineStr">
        <is>
          <t>The edition launches tomorrow at {launch_time} and will be available to collect for {window} only. For the next 24 hours, I'm excited to offer you early access ahead of the public launch.</t>
        </is>
      </c>
      <c r="C48" s="10">
        <f>SUBSTITUTE(SUBSTITUTE(B48,"{window}",Inputs!$B$13),"{launch_time}",Inputs!$B$49)</f>
        <v/>
      </c>
    </row>
    <row r="49" ht="32" customHeight="1">
      <c r="A49" s="4" t="inlineStr">
        <is>
          <t>email · insiders · code line, draw</t>
        </is>
      </c>
      <c r="B49" s="8" t="inlineStr">
        <is>
          <t>Discover the artwork and place your order via the private link below. Use code {early_access_code} to unlock early access.</t>
        </is>
      </c>
      <c r="C49" s="10">
        <f>SUBSTITUTE(B49,"{early_access_code}",Inputs!$B$19)</f>
        <v/>
      </c>
    </row>
    <row r="50" ht="16" customHeight="1">
      <c r="A50" s="4" t="inlineStr">
        <is>
          <t>email · insiders · link line, timed</t>
        </is>
      </c>
      <c r="B50" s="8" t="inlineStr">
        <is>
          <t>Discover the artwork and place your order via the private link below.</t>
        </is>
      </c>
      <c r="C50" s="10">
        <f>B50</f>
        <v/>
      </c>
    </row>
    <row r="51" ht="64" customHeight="1">
      <c r="A51" s="4" t="inlineStr">
        <is>
          <t>email · insiders · sign-off</t>
        </is>
      </c>
      <c r="B51" s="8" t="inlineStr">
        <is>
          <t>Best regards,
{advisor}
Art Advisor at Avant Arte</t>
        </is>
      </c>
      <c r="C51" s="10">
        <f>SUBSTITUTE(B51,"{advisor}",Inputs!$B$18)</f>
        <v/>
      </c>
    </row>
    <row r="52">
      <c r="A52" s="3" t="inlineStr">
        <is>
          <t>EMAILS · the window (TL)</t>
        </is>
      </c>
    </row>
    <row r="53" ht="32" customHeight="1">
      <c r="A53" s="4" t="inlineStr">
        <is>
          <t>email · live · opener</t>
        </is>
      </c>
      <c r="B53" s="8" t="inlineStr">
        <is>
          <t>Our {ordinal} collaboration with {artist} is now available to collect for {window} only – {work_intro}{support}.</t>
        </is>
      </c>
      <c r="C53" s="10">
        <f>SUBSTITUTE(SUBSTITUTE(SUBSTITUTE(SUBSTITUTE(SUBSTITUTE(B53,"{artist}",Inputs!$B$4),"{work_intro}",Inputs!$B$38),"{support}",Inputs!$B$39),"{ordinal}",Inputs!$B$7),"{window}",Inputs!$B$13)</f>
        <v/>
      </c>
    </row>
    <row r="54" ht="48" customHeight="1">
      <c r="A54" s="4" t="inlineStr">
        <is>
          <t>email · live · closing line</t>
        </is>
      </c>
      <c r="B54" s="8" t="inlineStr">
        <is>
          <t>The opportunity to collect an edition ends at {close_time} on {close_weekday}, {close_date_dd}. Click the link below to add {add_what} to your collection.</t>
        </is>
      </c>
      <c r="C54" s="10">
        <f>SUBSTITUTE(SUBSTITUTE(SUBSTITUTE(SUBSTITUTE(B54,"{close_time}",Inputs!$B$53),"{close_weekday}",Inputs!$B$54),"{close_date_dd}",Inputs!$B$55),"{add_what}",Inputs!$B$64)</f>
        <v/>
      </c>
    </row>
    <row r="55" ht="16" customHeight="1">
      <c r="A55" s="4" t="inlineStr">
        <is>
          <t>email · halfway · kicker</t>
        </is>
      </c>
      <c r="B55" s="8" t="inlineStr">
        <is>
          <t>Collect a print by {artist}</t>
        </is>
      </c>
      <c r="C55" s="10">
        <f>SUBSTITUTE(B55,"{artist}",Inputs!$B$4)</f>
        <v/>
      </c>
    </row>
    <row r="56" ht="16" customHeight="1">
      <c r="A56" s="4" t="inlineStr">
        <is>
          <t>email · halfway · headline</t>
        </is>
      </c>
      <c r="B56" s="8" t="inlineStr">
        <is>
          <t>24 hours down, 24 to go</t>
        </is>
      </c>
      <c r="C56" s="10">
        <f>B56</f>
        <v/>
      </c>
    </row>
    <row r="57" ht="16" customHeight="1">
      <c r="A57" s="4" t="inlineStr">
        <is>
          <t>email · halfway · footer</t>
        </is>
      </c>
      <c r="B57" s="8" t="inlineStr">
        <is>
          <t>There's still time to add a print to your collection.</t>
        </is>
      </c>
      <c r="C57" s="10">
        <f>B57</f>
        <v/>
      </c>
    </row>
    <row r="58" ht="16" customHeight="1">
      <c r="A58" s="4" t="inlineStr">
        <is>
          <t>email · 5 days · headline</t>
        </is>
      </c>
      <c r="B58" s="8" t="inlineStr">
        <is>
          <t>2 days down, 5 days to go</t>
        </is>
      </c>
      <c r="C58" s="10">
        <f>B58</f>
        <v/>
      </c>
    </row>
    <row r="59" ht="16" customHeight="1">
      <c r="A59" s="4" t="inlineStr">
        <is>
          <t>email · 5 days · footer</t>
        </is>
      </c>
      <c r="B59" s="8" t="inlineStr">
        <is>
          <t>Add a signed print to your collection</t>
        </is>
      </c>
      <c r="C59" s="10">
        <f>B59</f>
        <v/>
      </c>
    </row>
    <row r="60" ht="16" customHeight="1">
      <c r="A60" s="4" t="inlineStr">
        <is>
          <t>email · 3 days · headline</t>
        </is>
      </c>
      <c r="B60" s="8" t="inlineStr">
        <is>
          <t>Three days left to collect</t>
        </is>
      </c>
      <c r="C60" s="10">
        <f>B60</f>
        <v/>
      </c>
    </row>
    <row r="61" ht="32" customHeight="1">
      <c r="A61" s="4" t="inlineStr">
        <is>
          <t>email · 3 days · 1</t>
        </is>
      </c>
      <c r="B61" s="8" t="inlineStr">
        <is>
          <t>There are just three days left to collect {collect_phrase} by {artist}.</t>
        </is>
      </c>
      <c r="C61" s="10">
        <f>SUBSTITUTE(SUBSTITUTE(B61,"{artist}",Inputs!$B$4),"{collect_phrase}",Inputs!$B$56)</f>
        <v/>
      </c>
    </row>
    <row r="62" ht="32" customHeight="1">
      <c r="A62" s="4" t="inlineStr">
        <is>
          <t>email · 3 days · 2</t>
        </is>
      </c>
      <c r="B62" s="8" t="inlineStr">
        <is>
          <t>Click the link to collect before {close_time} on {close_weekday}, {close_date_dd}.</t>
        </is>
      </c>
      <c r="C62" s="10">
        <f>SUBSTITUTE(SUBSTITUTE(SUBSTITUTE(B62,"{close_time}",Inputs!$B$53),"{close_weekday}",Inputs!$B$54),"{close_date_dd}",Inputs!$B$55)</f>
        <v/>
      </c>
    </row>
    <row r="63" ht="16" customHeight="1">
      <c r="A63" s="4" t="inlineStr">
        <is>
          <t>email · 3 days · footer</t>
        </is>
      </c>
      <c r="B63" s="8" t="inlineStr">
        <is>
          <t>Add a print to your collection</t>
        </is>
      </c>
      <c r="C63" s="10">
        <f>B63</f>
        <v/>
      </c>
    </row>
    <row r="64">
      <c r="A64" s="3" t="inlineStr">
        <is>
          <t>EMAILS · last chance</t>
        </is>
      </c>
    </row>
    <row r="65" ht="48" customHeight="1">
      <c r="A65" s="4" t="inlineStr">
        <is>
          <t>email · last chance, timed · 1</t>
        </is>
      </c>
      <c r="B65" s="8" t="inlineStr">
        <is>
          <t>It's now or never for our {ordinal} collaboration with {artist} – {collect_phrase} will be available to order until {close_time} on {close_weekday}, {close_date_dd}.</t>
        </is>
      </c>
      <c r="C65" s="10">
        <f>SUBSTITUTE(SUBSTITUTE(SUBSTITUTE(SUBSTITUTE(SUBSTITUTE(SUBSTITUTE(B65,"{artist}",Inputs!$B$4),"{collect_phrase}",Inputs!$B$56),"{ordinal}",Inputs!$B$7),"{close_time}",Inputs!$B$53),"{close_weekday}",Inputs!$B$54),"{close_date_dd}",Inputs!$B$55)</f>
        <v/>
      </c>
    </row>
    <row r="66" ht="32" customHeight="1">
      <c r="A66" s="4" t="inlineStr">
        <is>
          <t>email · last chance, timed · 2</t>
        </is>
      </c>
      <c r="B66" s="8" t="inlineStr">
        <is>
          <t>After this time, the edition size{each_artwork} will be confirmed, and the {work_word} will no longer be available to purchase.</t>
        </is>
      </c>
      <c r="C66" s="10">
        <f>SUBSTITUTE(SUBSTITUTE(B66,"{each_artwork}",Inputs!$B$62),"{work_word}",Inputs!$B$63)</f>
        <v/>
      </c>
    </row>
    <row r="67" ht="32" customHeight="1">
      <c r="A67" s="4" t="inlineStr">
        <is>
          <t>email · last chance, draw · 1</t>
        </is>
      </c>
      <c r="B67" s="8" t="inlineStr">
        <is>
          <t>This is your final opportunity to enter the draw for {work_email}, {collect_phrase} by {artist}.</t>
        </is>
      </c>
      <c r="C67" s="10">
        <f>SUBSTITUTE(SUBSTITUTE(SUBSTITUTE(B67,"{artist}",Inputs!$B$4),"{work_email}",Inputs!$B$36),"{collect_phrase}",Inputs!$B$56)</f>
        <v/>
      </c>
    </row>
    <row r="68" ht="32" customHeight="1">
      <c r="A68" s="4" t="inlineStr">
        <is>
          <t>email · last chance, draw · 2</t>
        </is>
      </c>
      <c r="B68" s="8" t="inlineStr">
        <is>
          <t>For a chance to collect, click the link below to enter the draw. The draw closes at {close_time} on {close_weekday}, {close_date_dd}.</t>
        </is>
      </c>
      <c r="C68" s="10">
        <f>SUBSTITUTE(SUBSTITUTE(SUBSTITUTE(B68,"{close_time}",Inputs!$B$53),"{close_weekday}",Inputs!$B$54),"{close_date_dd}",Inputs!$B$55)</f>
        <v/>
      </c>
    </row>
    <row r="69">
      <c r="A69" s="3" t="inlineStr">
        <is>
          <t>EMAILS · surveys (LE)</t>
        </is>
      </c>
    </row>
    <row r="70" ht="16" customHeight="1">
      <c r="A70" s="4" t="inlineStr">
        <is>
          <t>email · first-time survey · subject</t>
        </is>
      </c>
      <c r="B70" s="8" t="inlineStr">
        <is>
          <t>Congratulations on your first Avant Arte edition</t>
        </is>
      </c>
      <c r="C70" s="10">
        <f>B70</f>
        <v/>
      </c>
    </row>
    <row r="71" ht="32" customHeight="1">
      <c r="A71" s="4" t="inlineStr">
        <is>
          <t>email · first-time survey · 1</t>
        </is>
      </c>
      <c r="B71" s="8" t="inlineStr">
        <is>
          <t>Thank you for adding our collaboration with {artist} to your collection. Great choice!</t>
        </is>
      </c>
      <c r="C71" s="10">
        <f>SUBSTITUTE(B71,"{artist}",Inputs!$B$4)</f>
        <v/>
      </c>
    </row>
    <row r="72" ht="48" customHeight="1">
      <c r="A72" s="4" t="inlineStr">
        <is>
          <t>email · first-time survey · 2</t>
        </is>
      </c>
      <c r="B72" s="8" t="inlineStr">
        <is>
          <t>I'm {advisor}, an art advisor at Avant Arte. I'm here to connect collectors with artists by making suggestions, answering questions and offering early access to our collaborations.</t>
        </is>
      </c>
      <c r="C72" s="10">
        <f>SUBSTITUTE(B72,"{advisor}",Inputs!$B$18)</f>
        <v/>
      </c>
    </row>
    <row r="73" ht="32" customHeight="1">
      <c r="A73" s="4" t="inlineStr">
        <is>
          <t>email · first-time survey · 3</t>
        </is>
      </c>
      <c r="B73" s="8" t="inlineStr">
        <is>
          <t>If you have two minutes to complete a short survey about your collecting journey to date, your responses will help guide my recommendations.</t>
        </is>
      </c>
      <c r="C73" s="10">
        <f>B73</f>
        <v/>
      </c>
    </row>
    <row r="74" ht="16" customHeight="1">
      <c r="A74" s="4" t="inlineStr">
        <is>
          <t>email · first-time survey · 4</t>
        </is>
      </c>
      <c r="B74" s="8" t="inlineStr">
        <is>
          <t>Any questions? Reply to this email.</t>
        </is>
      </c>
      <c r="C74" s="10">
        <f>B74</f>
        <v/>
      </c>
    </row>
    <row r="75" ht="48" customHeight="1">
      <c r="A75" s="4" t="inlineStr">
        <is>
          <t>email · non-purchaser survey · 1</t>
        </is>
      </c>
      <c r="B75" s="8" t="inlineStr">
        <is>
          <t>As someone who registered for updates but ultimately decided not to enter the draw for our collaboration with {artist}, we'd love your feedback.</t>
        </is>
      </c>
      <c r="C75" s="10">
        <f>SUBSTITUTE(B75,"{artist}",Inputs!$B$4)</f>
        <v/>
      </c>
    </row>
    <row r="76" ht="32" customHeight="1">
      <c r="A76" s="4" t="inlineStr">
        <is>
          <t>email · non-purchaser survey · 2</t>
        </is>
      </c>
      <c r="B76" s="8" t="inlineStr">
        <is>
          <t>This two-minute survey will guide our future collaborations and help us recommend the right artists and editions for your collection.</t>
        </is>
      </c>
      <c r="C76" s="10">
        <f>B76</f>
        <v/>
      </c>
    </row>
    <row r="77" ht="48" customHeight="1">
      <c r="A77" s="4" t="inlineStr">
        <is>
          <t>email · non-purchaser survey · 3</t>
        </is>
      </c>
      <c r="B77" s="8" t="inlineStr">
        <is>
          <t>As a thank you for taking part in the survey and helping us improve the collector experience, you'll be entered into a draw to win a €500 Avant Arte gift card.</t>
        </is>
      </c>
      <c r="C77" s="10">
        <f>B77</f>
        <v/>
      </c>
    </row>
    <row r="78" ht="16" customHeight="1">
      <c r="A78" s="4" t="inlineStr">
        <is>
          <t>email · non-purchaser survey · terms</t>
        </is>
      </c>
      <c r="B78" s="8" t="inlineStr">
        <is>
          <t>You can read the terms here.</t>
        </is>
      </c>
      <c r="C78" s="10">
        <f>B78</f>
        <v/>
      </c>
    </row>
    <row r="79" ht="16" customHeight="1">
      <c r="A79" s="4" t="inlineStr">
        <is>
          <t>email · non-purchaser survey · footer</t>
        </is>
      </c>
      <c r="B79" s="8" t="inlineStr">
        <is>
          <t>What can we do better?</t>
        </is>
      </c>
      <c r="C79" s="10">
        <f>B79</f>
        <v/>
      </c>
    </row>
    <row r="80">
      <c r="A80" s="3" t="inlineStr">
        <is>
          <t>EMAILS · monthly preview</t>
        </is>
      </c>
    </row>
    <row r="81" ht="16" customHeight="1">
      <c r="A81" s="4" t="inlineStr">
        <is>
          <t>email · monthly preview · opener</t>
        </is>
      </c>
      <c r="B81" s="8" t="inlineStr">
        <is>
          <t>From {artist} comes {work_intro}{support}.</t>
        </is>
      </c>
      <c r="C81" s="10">
        <f>SUBSTITUTE(SUBSTITUTE(SUBSTITUTE(B81,"{artist}",Inputs!$B$4),"{work_intro}",Inputs!$B$38),"{support}",Inputs!$B$39)</f>
        <v/>
      </c>
    </row>
    <row r="82" ht="32" customHeight="1">
      <c r="A82" s="4" t="inlineStr">
        <is>
          <t>email · monthly preview · when, draw</t>
        </is>
      </c>
      <c r="B82" s="8" t="inlineStr">
        <is>
          <t>The edition will be allocated by a randomised draw, which closes at {close_time} on {close_date}.</t>
        </is>
      </c>
      <c r="C82" s="10">
        <f>SUBSTITUTE(SUBSTITUTE(B82,"{close_date}",Inputs!$B$52),"{close_time}",Inputs!$B$53)</f>
        <v/>
      </c>
    </row>
    <row r="83" ht="32" customHeight="1">
      <c r="A83" s="4" t="inlineStr">
        <is>
          <t>email · monthly preview · when, timed</t>
        </is>
      </c>
      <c r="B83" s="8" t="inlineStr">
        <is>
          <t>The edition will be available to collect for {window} only, from {launch_time} on {launch_weekday}, {launch_date_dd}.</t>
        </is>
      </c>
      <c r="C83" s="10">
        <f>SUBSTITUTE(SUBSTITUTE(SUBSTITUTE(SUBSTITUTE(B83,"{window}",Inputs!$B$13),"{launch_time}",Inputs!$B$49),"{launch_weekday}",Inputs!$B$50),"{launch_date_dd}",Inputs!$B$51)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4" customWidth="1" min="3" max="3"/>
    <col width="44" customWidth="1" min="4" max="4"/>
    <col width="56" customWidth="1" min="5" max="5"/>
    <col width="44" customWidth="1" min="6" max="6"/>
    <col width="44" customWidth="1" min="7" max="7"/>
    <col width="14" customWidth="1" min="8" max="8"/>
    <col width="92" customWidth="1" min="9" max="9"/>
    <col width="11" customWidth="1" min="10" max="10"/>
  </cols>
  <sheetData>
    <row r="1">
      <c r="A1" s="1" t="inlineStr">
        <is>
          <t>The posts, assembled</t>
        </is>
      </c>
    </row>
    <row r="2">
      <c r="A2" s="2" t="inlineStr">
        <is>
          <t>Every cell below is a formula over Inputs and Lines. Skeleton: status line · substance · features line · action line · hashtag. Coming Soon opens with the bio.</t>
        </is>
      </c>
    </row>
    <row r="3">
      <c r="A3" s="3" t="inlineStr">
        <is>
          <t>#</t>
        </is>
      </c>
      <c r="B3" s="3" t="inlineStr">
        <is>
          <t>Post</t>
        </is>
      </c>
      <c r="C3" s="3" t="inlineStr">
        <is>
          <t>Made of</t>
        </is>
      </c>
      <c r="D3" s="3" t="inlineStr">
        <is>
          <t>Status line</t>
        </is>
      </c>
      <c r="E3" s="3" t="inlineStr">
        <is>
          <t>Substance</t>
        </is>
      </c>
      <c r="F3" s="3" t="inlineStr">
        <is>
          <t>Features line</t>
        </is>
      </c>
      <c r="G3" s="3" t="inlineStr">
        <is>
          <t>Action line</t>
        </is>
      </c>
      <c r="H3" s="3" t="inlineStr">
        <is>
          <t>Hashtag</t>
        </is>
      </c>
      <c r="I3" s="3" t="inlineStr">
        <is>
          <t>Caption</t>
        </is>
      </c>
      <c r="J3" s="3" t="inlineStr">
        <is>
          <t>Characters</t>
        </is>
      </c>
    </row>
    <row r="4" ht="190" customHeight="1">
      <c r="A4" s="11" t="n">
        <v>1</v>
      </c>
      <c r="B4" s="11" t="inlineStr">
        <is>
          <t>coming soon</t>
        </is>
      </c>
      <c r="C4" s="11" t="inlineStr">
        <is>
          <t>bio · status · action</t>
        </is>
      </c>
      <c r="D4" s="11">
        <f>Lines!$C$5</f>
        <v/>
      </c>
      <c r="E4" s="11">
        <f>Inputs!$B$41</f>
        <v/>
      </c>
      <c r="F4" s="11">
        <f>""</f>
        <v/>
      </c>
      <c r="G4" s="11">
        <f>Lines!$C$21</f>
        <v/>
      </c>
      <c r="H4" s="11">
        <f>""</f>
        <v/>
      </c>
      <c r="I4" s="11">
        <f>E4&amp;IF(D4="","",CHAR(10)&amp;CHAR(10)&amp;D4)&amp;IF(G4="","",CHAR(10)&amp;CHAR(10)&amp;G4)</f>
        <v/>
      </c>
      <c r="J4" s="11">
        <f>LEN(I4)</f>
        <v/>
      </c>
    </row>
    <row r="5" ht="190" customHeight="1">
      <c r="A5" s="11" t="n">
        <v>2</v>
      </c>
      <c r="B5" s="11" t="inlineStr">
        <is>
          <t>announce</t>
        </is>
      </c>
      <c r="C5" s="11" t="inlineStr">
        <is>
          <t>status · hook · features + beneficiary · action · hashtag</t>
        </is>
      </c>
      <c r="D5" s="11">
        <f>IF(Inputs!$B$9="yes",Lines!$C$7,Lines!$C$6)</f>
        <v/>
      </c>
      <c r="E5" s="11">
        <f>Inputs!$B$28</f>
        <v/>
      </c>
      <c r="F5" s="11">
        <f>Lines!$C$15&amp;IF(Inputs!$B$42,"",IF(Inputs!$B$40="",""," "&amp;Lines!$C$16))</f>
        <v/>
      </c>
      <c r="G5" s="11">
        <f>IF(Inputs!$B$12="draw",Lines!$C$18,Lines!$C$17)</f>
        <v/>
      </c>
      <c r="H5" s="11">
        <f>IF(Inputs!$B$6="","",Lines!$C$22)</f>
        <v/>
      </c>
      <c r="I5" s="11">
        <f>D5&amp;IF(E5="","",CHAR(10)&amp;CHAR(10)&amp;E5)&amp;IF(F5="","",CHAR(10)&amp;CHAR(10)&amp;F5)&amp;IF(G5="","",CHAR(10)&amp;CHAR(10)&amp;G5)&amp;IF(H5="","",CHAR(10)&amp;CHAR(10)&amp;H5)</f>
        <v/>
      </c>
      <c r="J5" s="11">
        <f>LEN(I5)</f>
        <v/>
      </c>
    </row>
    <row r="6" ht="120" customHeight="1">
      <c r="A6" s="11" t="n">
        <v>3</v>
      </c>
      <c r="B6" s="11" t="inlineStr">
        <is>
          <t>sustain</t>
        </is>
      </c>
      <c r="C6" s="11" t="inlineStr">
        <is>
          <t>status · making · features + beneficiary · action</t>
        </is>
      </c>
      <c r="D6" s="11">
        <f>Lines!$C$8</f>
        <v/>
      </c>
      <c r="E6" s="11">
        <f>Inputs!$B$47</f>
        <v/>
      </c>
      <c r="F6" s="11">
        <f>Lines!$C$15&amp;IF(Inputs!$B$40="",""," "&amp;Lines!$C$16)</f>
        <v/>
      </c>
      <c r="G6" s="11">
        <f>IF(Inputs!$B$12="draw",Lines!$C$18,Lines!$C$17)</f>
        <v/>
      </c>
      <c r="H6" s="11">
        <f>""</f>
        <v/>
      </c>
      <c r="I6" s="11">
        <f>D6&amp;IF(E6="","",CHAR(10)&amp;CHAR(10)&amp;E6)&amp;IF(F6="","",CHAR(10)&amp;CHAR(10)&amp;F6)&amp;IF(G6="","",CHAR(10)&amp;CHAR(10)&amp;G6)</f>
        <v/>
      </c>
      <c r="J6" s="11">
        <f>LEN(I6)</f>
        <v/>
      </c>
    </row>
    <row r="7" ht="120" customHeight="1">
      <c r="A7" s="11" t="n">
        <v>4</v>
      </c>
      <c r="B7" s="11" t="inlineStr">
        <is>
          <t>sustain, the artist's words</t>
        </is>
      </c>
      <c r="C7" s="11" t="inlineStr">
        <is>
          <t>quote · status · features + beneficiary · action</t>
        </is>
      </c>
      <c r="D7" s="11">
        <f>IF(Inputs!$B$30="","(no quote given, post skipped)",Lines!$C$9)</f>
        <v/>
      </c>
      <c r="E7" s="11">
        <f>IF(Inputs!$B$30="","",Lines!$C$10)</f>
        <v/>
      </c>
      <c r="F7" s="11">
        <f>IF(Inputs!$B$30="","",Lines!$C$15&amp;IF(Inputs!$B$40="",""," "&amp;Lines!$C$16))</f>
        <v/>
      </c>
      <c r="G7" s="11">
        <f>IF(Inputs!$B$30="","",IF(Inputs!$B$12="draw",Lines!$C$18,Lines!$C$17))</f>
        <v/>
      </c>
      <c r="H7" s="11">
        <f>""</f>
        <v/>
      </c>
      <c r="I7" s="11">
        <f>IF(Inputs!$B$30="","(no quote given, post skipped)",D7&amp;IF(E7="","",CHAR(10)&amp;CHAR(10)&amp;E7)&amp;IF(F7="","",CHAR(10)&amp;CHAR(10)&amp;F7)&amp;IF(G7="","",CHAR(10)&amp;CHAR(10)&amp;G7))</f>
        <v/>
      </c>
      <c r="J7" s="11">
        <f>LEN(I7)</f>
        <v/>
      </c>
    </row>
    <row r="8" ht="120" customHeight="1">
      <c r="A8" s="11" t="n">
        <v>5</v>
      </c>
      <c r="B8" s="11" t="inlineStr">
        <is>
          <t>live (timed only)</t>
        </is>
      </c>
      <c r="C8" s="11" t="inlineStr">
        <is>
          <t>status · features + beneficiary · action</t>
        </is>
      </c>
      <c r="D8" s="11">
        <f>IF(Inputs!$B$12="draw","(not used for a draw)",Lines!$C$11)</f>
        <v/>
      </c>
      <c r="E8" s="11">
        <f>""</f>
        <v/>
      </c>
      <c r="F8" s="11">
        <f>IF(Inputs!$B$12="draw","",Lines!$C$15&amp;IF(Inputs!$B$40="",""," "&amp;Lines!$C$16))</f>
        <v/>
      </c>
      <c r="G8" s="11">
        <f>IF(Inputs!$B$12="draw","",IF(Inputs!$B$12="draw",Lines!$C$20,Lines!$C$19))</f>
        <v/>
      </c>
      <c r="H8" s="11">
        <f>""</f>
        <v/>
      </c>
      <c r="I8" s="11">
        <f>IF(Inputs!$B$12="draw","(not used for a draw)",D8&amp;IF(F8="","",CHAR(10)&amp;CHAR(10)&amp;F8)&amp;IF(G8="","",CHAR(10)&amp;CHAR(10)&amp;G8))</f>
        <v/>
      </c>
      <c r="J8" s="11">
        <f>LEN(I8)</f>
        <v/>
      </c>
    </row>
    <row r="9" ht="120" customHeight="1">
      <c r="A9" s="11" t="n">
        <v>6</v>
      </c>
      <c r="B9" s="11" t="inlineStr">
        <is>
          <t>still time (timed only)</t>
        </is>
      </c>
      <c r="C9" s="11" t="inlineStr">
        <is>
          <t>status · features + beneficiary · action</t>
        </is>
      </c>
      <c r="D9" s="11">
        <f>IF(Inputs!$B$12="draw","(not used for a draw)",Lines!$C$12)</f>
        <v/>
      </c>
      <c r="E9" s="11">
        <f>""</f>
        <v/>
      </c>
      <c r="F9" s="11">
        <f>IF(Inputs!$B$12="draw","",Lines!$C$15&amp;IF(Inputs!$B$40="",""," "&amp;Lines!$C$16))</f>
        <v/>
      </c>
      <c r="G9" s="11">
        <f>IF(Inputs!$B$12="draw","",IF(Inputs!$B$12="draw",Lines!$C$20,Lines!$C$19))</f>
        <v/>
      </c>
      <c r="H9" s="11">
        <f>""</f>
        <v/>
      </c>
      <c r="I9" s="11">
        <f>IF(Inputs!$B$12="draw","(not used for a draw)",D9&amp;IF(F9="","",CHAR(10)&amp;CHAR(10)&amp;F9)&amp;IF(G9="","",CHAR(10)&amp;CHAR(10)&amp;G9))</f>
        <v/>
      </c>
      <c r="J9" s="11">
        <f>LEN(I9)</f>
        <v/>
      </c>
    </row>
    <row r="10" ht="120" customHeight="1">
      <c r="A10" s="11" t="n">
        <v>7</v>
      </c>
      <c r="B10" s="11" t="inlineStr">
        <is>
          <t>last chance</t>
        </is>
      </c>
      <c r="C10" s="11" t="inlineStr">
        <is>
          <t>status · features + beneficiary · action</t>
        </is>
      </c>
      <c r="D10" s="11">
        <f>IF(Inputs!$B$12="draw",Lines!$C$14,Lines!$C$13)</f>
        <v/>
      </c>
      <c r="E10" s="11">
        <f>""</f>
        <v/>
      </c>
      <c r="F10" s="11">
        <f>Lines!$C$15&amp;IF(Inputs!$B$40="",""," "&amp;Lines!$C$16)</f>
        <v/>
      </c>
      <c r="G10" s="11">
        <f>IF(Inputs!$B$12="draw",Lines!$C$20,Lines!$C$19)</f>
        <v/>
      </c>
      <c r="H10" s="11">
        <f>""</f>
        <v/>
      </c>
      <c r="I10" s="11">
        <f>D10&amp;IF(F10="","",CHAR(10)&amp;CHAR(10)&amp;F10)&amp;IF(G10="","",CHAR(10)&amp;CHAR(10)&amp;G10)</f>
        <v/>
      </c>
      <c r="J10" s="11">
        <f>LEN(I10)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IF($D4&lt;&gt;"yes","",Lines!$C$29)</f>
        <v/>
      </c>
      <c r="F4" s="11">
        <f>IF($D4&lt;&gt;"yes","",IF(Inputs!$B$12="draw","Enter the draw for a chance to collect. Closes "&amp;Inputs!$B$52&amp;".","Launching "&amp;Inputs!$B$48&amp;". Register for updates."))</f>
        <v/>
      </c>
      <c r="G4" s="11">
        <f>IF($D4&lt;&gt;"yes","",IF(Inputs!$B$12="draw","Enter the draw","Launching "&amp;Inputs!$B$48))</f>
        <v/>
      </c>
      <c r="H4" s="11">
        <f>IF($D4&lt;&gt;"yes","",IF(Inputs!$B$12="draw",Inputs!$B$37,Inputs!$B$37&amp;" by "&amp;Inputs!$B$4))</f>
        <v/>
      </c>
      <c r="I4" s="11">
        <f>IF($D4&lt;&gt;"yes","",(Lines!$C$30&amp;CHAR(10)&amp;CHAR(10)&amp;Inputs!$B$28&amp;CHAR(10)&amp;CHAR(10)&amp;Inputs!$B$46&amp;CHAR(10)&amp;CHAR(10)&amp;Inputs!$B$44&amp;CHAR(10)&amp;CHAR(10)&amp;IF(Inputs!$B$12="draw",Lines!$C$26,(Lines!$C$31&amp;CHAR(10)&amp;CHAR(10)&amp;Lines!$C$32))))</f>
        <v/>
      </c>
      <c r="J4" s="11">
        <f>IF($D4&lt;&gt;"yes","",IF(Inputs!$B$12="draw","Enter the draw","Discover the collaboration"))</f>
        <v/>
      </c>
      <c r="K4" s="11">
        <f>IF($D4&lt;&gt;"yes","",Inputs!$B$60)</f>
        <v/>
      </c>
      <c r="L4" s="11">
        <f>IF($D4&lt;&gt;"yes","",Inputs!$B$61)</f>
        <v/>
      </c>
      <c r="M4" s="11">
        <f>IF($D4&lt;&gt;"yes","",IF(Inputs!$B$12="draw","Collect "&amp;Inputs!$B$56,"Launching "&amp;Inputs!$B$48))</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IF(Inputs!$B$12="draw","(not used for a draw)","yes")</f>
        <v/>
      </c>
      <c r="E5" s="11">
        <f>IF($D5&lt;&gt;"yes","","Welcome to Avant Arte")</f>
        <v/>
      </c>
      <c r="F5" s="11">
        <f>IF($D5&lt;&gt;"yes","","Where the art world is more accessible.")</f>
        <v/>
      </c>
      <c r="G5" s="11">
        <f>""</f>
        <v/>
      </c>
      <c r="H5" s="11">
        <f>""</f>
        <v/>
      </c>
      <c r="I5" s="11">
        <f>IF($D5&lt;&gt;"yes","",(Lines!$C$34&amp;CHAR(10)&amp;CHAR(10)&amp;Lines!$C$35&amp;CHAR(10)&amp;CHAR(10)&amp;Lines!$C$36&amp;CHAR(10)&amp;CHAR(10)&amp;Lines!$C$37))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IF(Inputs!$B$12="draw","(not used for a draw)","yes")</f>
        <v/>
      </c>
      <c r="E6" s="11">
        <f>IF($D6&lt;&gt;"yes","",Inputs!$B$4&amp;" – Early access 🔓")</f>
        <v/>
      </c>
      <c r="F6" s="11">
        <f>IF($D6&lt;&gt;"yes","","Collect 24 hours before everyone else.")</f>
        <v/>
      </c>
      <c r="G6" s="11">
        <f>""</f>
        <v/>
      </c>
      <c r="H6" s="11">
        <f>""</f>
        <v/>
      </c>
      <c r="I6" s="11">
        <f>IF($D6&lt;&gt;"yes","",(Lines!$C$24&amp;CHAR(10)&amp;CHAR(10)&amp;Lines!$C$39&amp;CHAR(10)&amp;CHAR(10)&amp;Inputs!$B$28&amp;CHAR(10)&amp;CHAR(10)&amp;Inputs!$B$45&amp;CHAR(10)&amp;CHAR(10)&amp;Lines!$C$40&amp;CHAR(10)&amp;CHAR(10)&amp;Lines!$C$42))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IF(Inputs!$B$12="draw","(not used for a draw)","yes")</f>
        <v/>
      </c>
      <c r="E7" s="11">
        <f>IF($D7&lt;&gt;"yes","",Inputs!$B$4&amp;" – Early access for past collectors")</f>
        <v/>
      </c>
      <c r="F7" s="11">
        <f>IF($D7&lt;&gt;"yes","","Order before everyone else.")</f>
        <v/>
      </c>
      <c r="G7" s="11">
        <f>""</f>
        <v/>
      </c>
      <c r="H7" s="11">
        <f>""</f>
        <v/>
      </c>
      <c r="I7" s="11">
        <f>IF($D7&lt;&gt;"yes","",(Lines!$C$24&amp;CHAR(10)&amp;CHAR(10)&amp;Lines!$C$39&amp;CHAR(10)&amp;CHAR(10)&amp;Inputs!$B$28&amp;CHAR(10)&amp;CHAR(10)&amp;Inputs!$B$45&amp;CHAR(10)&amp;CHAR(10)&amp;Lines!$C$41&amp;CHAR(10)&amp;CHAR(10)&amp;Lines!$C$42&amp;CHAR(10)&amp;CHAR(10)&amp;Lines!$C$27&amp;CHAR(10)&amp;CHAR(10)&amp;Lines!$C$25))</f>
        <v/>
      </c>
      <c r="J7" s="11">
        <f>IF($D7&lt;&gt;"yes","","Unlock early access")</f>
        <v/>
      </c>
      <c r="K7" s="11">
        <f>IF($D7&lt;&gt;"yes","",Inputs!$B$60)</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IF($D8&lt;&gt;"yes","",IF(Inputs!$B$12="draw","A first look, plus early access to a limited number of pre-orders.","Collect 24 hours before everyone else."))</f>
        <v/>
      </c>
      <c r="G8" s="11">
        <f>""</f>
        <v/>
      </c>
      <c r="H8" s="11">
        <f>""</f>
        <v/>
      </c>
      <c r="I8" s="11">
        <f>IF($D8&lt;&gt;"yes","",(Lines!$C$24&amp;CHAR(10)&amp;CHAR(10)&amp;Lines!$C$46&amp;CHAR(10)&amp;CHAR(10)&amp;Inputs!$B$28&amp;CHAR(10)&amp;CHAR(10)&amp;IF(Inputs!$B$12="draw",Lines!$C$47,Lines!$C$48)&amp;CHAR(10)&amp;CHAR(10)&amp;IF(Inputs!$B$12="draw",Lines!$C$49,Lines!$C$50)&amp;CHAR(10)&amp;CHAR(10)&amp;Lines!$C$25&amp;CHAR(10)&amp;CHAR(10)&amp;Lines!$C$51))</f>
        <v/>
      </c>
      <c r="J8" s="11">
        <f>IF($D8&lt;&gt;"yes","","Unlock early access")</f>
        <v/>
      </c>
      <c r="K8" s="11">
        <f>IF($D8&lt;&gt;"yes","",Inputs!$B$60)</f>
        <v/>
      </c>
      <c r="L8" s="11">
        <f>""</f>
        <v/>
      </c>
      <c r="M8" s="11">
        <f>IF($D8&lt;&gt;"yes","",IF(Inputs!$B$12="draw","Especially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IF(Inputs!$B$12="draw","yes","(not used for a timed edition)")</f>
        <v/>
      </c>
      <c r="E9" s="11">
        <f>IF($D9&lt;&gt;"yes","",Inputs!$B$4&amp;" – Early access 🔓")</f>
        <v/>
      </c>
      <c r="F9" s="11">
        <f>IF($D9&lt;&gt;"yes","","A first look, plus access to a limited number of pre-orders.")</f>
        <v/>
      </c>
      <c r="G9" s="11">
        <f>""</f>
        <v/>
      </c>
      <c r="H9" s="11">
        <f>""</f>
        <v/>
      </c>
      <c r="I9" s="11">
        <f>IF($D9&lt;&gt;"yes","",(Lines!$C$24&amp;CHAR(10)&amp;CHAR(10)&amp;Lines!$C$43&amp;CHAR(10)&amp;CHAR(10)&amp;Inputs!$B$28&amp;CHAR(10)&amp;CHAR(10)&amp;Lines!$C$44&amp;CHAR(10)&amp;CHAR(10)&amp;Lines!$C$45&amp;CHAR(10)&amp;CHAR(10)&amp;Lines!$C$27&amp;CHAR(10)&amp;CHAR(10)&amp;Lines!$C$25))</f>
        <v/>
      </c>
      <c r="J9" s="11">
        <f>IF($D9&lt;&gt;"yes","","Unlock early access")</f>
        <v/>
      </c>
      <c r="K9" s="11">
        <f>IF($D9&lt;&gt;"yes","",Inputs!$B$60)</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IF(Inputs!$B$12="draw","(not used for a draw)","yes")</f>
        <v/>
      </c>
      <c r="E10" s="11">
        <f>IF($D10&lt;&gt;"yes","",Inputs!$B$4&amp;" – Available now, for "&amp;Inputs!$B$13&amp;" only")</f>
        <v/>
      </c>
      <c r="F10" s="11">
        <f>IF($D10&lt;&gt;"yes","",Inputs!$B$58&amp;", starting now.")</f>
        <v/>
      </c>
      <c r="G10" s="11">
        <f>IF($D10&lt;&gt;"yes","","Collect a print by "&amp;Inputs!$B$4)</f>
        <v/>
      </c>
      <c r="H10" s="11">
        <f>IF($D10&lt;&gt;"yes","",Inputs!$B$58&amp;", starting now")</f>
        <v/>
      </c>
      <c r="I10" s="11">
        <f>IF($D10&lt;&gt;"yes","",(Lines!$C$53&amp;CHAR(10)&amp;CHAR(10)&amp;Inputs!$B$28&amp;CHAR(10)&amp;CHAR(10)&amp;Inputs!$B$46&amp;CHAR(10)&amp;CHAR(10)&amp;Inputs!$B$45&amp;CHAR(10)&amp;CHAR(10)&amp;Lines!$C$54))</f>
        <v/>
      </c>
      <c r="J10" s="11">
        <f>IF($D10&lt;&gt;"yes","","Buy now")</f>
        <v/>
      </c>
      <c r="K10" s="11">
        <f>IF($D10&lt;&gt;"yes","",Inputs!$B$60)</f>
        <v/>
      </c>
      <c r="L10" s="11">
        <f>IF($D10&lt;&gt;"yes","",Inputs!$B$61)</f>
        <v/>
      </c>
      <c r="M10" s="11">
        <f>IF($D10&lt;&gt;"yes","","Collect "&amp;Inputs!$B$56)</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IF(Inputs!$B$12="draw","(not used for a draw)",IF(Inputs!$B$13="48 hours","yes","(48-hour windows only; a one-week window gets the 5 days and 3 days emails)"))</f>
        <v/>
      </c>
      <c r="E11" s="11">
        <f>IF($D11&lt;&gt;"yes","",Inputs!$B$4&amp;" – 24 hours to go")</f>
        <v/>
      </c>
      <c r="F11" s="11">
        <f>""</f>
        <v/>
      </c>
      <c r="G11" s="11">
        <f>IF($D11&lt;&gt;"yes","",Lines!$C$55)</f>
        <v/>
      </c>
      <c r="H11" s="11">
        <f>IF($D11&lt;&gt;"yes","",Lines!$C$56)</f>
        <v/>
      </c>
      <c r="I11" s="11">
        <f>""</f>
        <v/>
      </c>
      <c r="J11" s="11">
        <f>IF($D11&lt;&gt;"yes","","Buy now")</f>
        <v/>
      </c>
      <c r="K11" s="11">
        <f>""</f>
        <v/>
      </c>
      <c r="L11" s="11">
        <f>""</f>
        <v/>
      </c>
      <c r="M11" s="11">
        <f>IF($D11&lt;&gt;"yes","",Lines!$C$57)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IF(Inputs!$B$12="draw","(not used for a draw)",IF(Inputs!$B$13="48 hours","(one-week windows only; a 48-hour window gets the halfway email)","yes"))</f>
        <v/>
      </c>
      <c r="E12" s="11">
        <f>IF($D12&lt;&gt;"yes","",Inputs!$B$4&amp;" – 5 days left")</f>
        <v/>
      </c>
      <c r="F12" s="11">
        <f>""</f>
        <v/>
      </c>
      <c r="G12" s="11">
        <f>IF($D12&lt;&gt;"yes","",Lines!$C$55)</f>
        <v/>
      </c>
      <c r="H12" s="11">
        <f>IF($D12&lt;&gt;"yes","",Lines!$C$58)</f>
        <v/>
      </c>
      <c r="I12" s="11">
        <f>""</f>
        <v/>
      </c>
      <c r="J12" s="11">
        <f>IF($D12&lt;&gt;"yes","","Buy a print")</f>
        <v/>
      </c>
      <c r="K12" s="11">
        <f>""</f>
        <v/>
      </c>
      <c r="L12" s="11">
        <f>""</f>
        <v/>
      </c>
      <c r="M12" s="11">
        <f>IF($D12&lt;&gt;"yes","",Lines!$C$59)</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IF(Inputs!$B$12="draw","(not used for a draw)",IF(Inputs!$B$13="48 hours","(one-week windows only; a 48-hour window gets the halfway email)","yes"))</f>
        <v/>
      </c>
      <c r="E13" s="11">
        <f>IF($D13&lt;&gt;"yes","",Inputs!$B$4&amp;" – 3 days to go")</f>
        <v/>
      </c>
      <c r="F13" s="11">
        <f>""</f>
        <v/>
      </c>
      <c r="G13" s="11">
        <f>IF($D13&lt;&gt;"yes","",Inputs!$B$37&amp;" by "&amp;Inputs!$B$4)</f>
        <v/>
      </c>
      <c r="H13" s="11">
        <f>IF($D13&lt;&gt;"yes","",Lines!$C$60)</f>
        <v/>
      </c>
      <c r="I13" s="11">
        <f>IF($D13&lt;&gt;"yes","",(Lines!$C$61&amp;CHAR(10)&amp;CHAR(10)&amp;Inputs!$B$28&amp;CHAR(10)&amp;CHAR(10)&amp;Lines!$C$62))</f>
        <v/>
      </c>
      <c r="J13" s="11">
        <f>IF($D13&lt;&gt;"yes","","Buy a print")</f>
        <v/>
      </c>
      <c r="K13" s="11">
        <f>IF($D13&lt;&gt;"yes","",Inputs!$B$60)</f>
        <v/>
      </c>
      <c r="L13" s="11">
        <f>""</f>
        <v/>
      </c>
      <c r="M13" s="11">
        <f>IF($D13&lt;&gt;"yes","",Lines!$C$63)</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"&amp;IF(Inputs!$B$12="draw","enter the draw","collect"))</f>
        <v/>
      </c>
      <c r="F14" s="11">
        <f>IF($D14&lt;&gt;"yes","",IF(Inputs!$B$12="draw","The draw closes at "&amp;Inputs!$B$53&amp;" on "&amp;Inputs!$B$52&amp;".","Time is almost up."))</f>
        <v/>
      </c>
      <c r="G14" s="11">
        <f>IF($D14&lt;&gt;"yes","",Inputs!$B$4)</f>
        <v/>
      </c>
      <c r="H14" s="11">
        <f>IF($D14&lt;&gt;"yes","",IF(Inputs!$B$12="draw","Last chance to enter the draw","Last chance to collect"))</f>
        <v/>
      </c>
      <c r="I14" s="11">
        <f>IF($D14&lt;&gt;"yes","",IF(Inputs!$B$12="draw",(Lines!$C$67&amp;CHAR(10)&amp;CHAR(10)&amp;Inputs!$B$28&amp;CHAR(10)&amp;CHAR(10)&amp;Lines!$C$68),(Lines!$C$65&amp;CHAR(10)&amp;CHAR(10)&amp;Lines!$C$66)))</f>
        <v/>
      </c>
      <c r="J14" s="11">
        <f>IF($D14&lt;&gt;"yes","",IF(Inputs!$B$12="draw","Enter the draw","Buy now"))</f>
        <v/>
      </c>
      <c r="K14" s="11">
        <f>IF($D14&lt;&gt;"yes","",Inputs!$B$60)</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IF(Inputs!$B$12="draw","yes","(not used for a timed edition)")</f>
        <v/>
      </c>
      <c r="E15" s="11">
        <f>IF($D15&lt;&gt;"yes","",Lines!$C$70)</f>
        <v/>
      </c>
      <c r="F15" s="11">
        <f>""</f>
        <v/>
      </c>
      <c r="G15" s="11">
        <f>""</f>
        <v/>
      </c>
      <c r="H15" s="11">
        <f>""</f>
        <v/>
      </c>
      <c r="I15" s="11">
        <f>IF($D15&lt;&gt;"yes","",(Lines!$C$24&amp;CHAR(10)&amp;CHAR(10)&amp;Lines!$C$71&amp;CHAR(10)&amp;CHAR(10)&amp;Lines!$C$72&amp;CHAR(10)&amp;CHAR(10)&amp;Lines!$C$73&amp;CHAR(10)&amp;CHAR(10)&amp;Lines!$C$74))</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IF(Inputs!$B$12="draw","yes","(not used for a timed edition)")</f>
        <v/>
      </c>
      <c r="E16" s="11">
        <f>IF($D16&lt;&gt;"yes","",Inputs!$B$4&amp;" – Any feedback?")</f>
        <v/>
      </c>
      <c r="F16" s="11">
        <f>""</f>
        <v/>
      </c>
      <c r="G16" s="11">
        <f>IF($D16&lt;&gt;"yes","","Your feedback")</f>
        <v/>
      </c>
      <c r="H16" s="11">
        <f>IF($D16&lt;&gt;"yes","",Inputs!$B$4)</f>
        <v/>
      </c>
      <c r="I16" s="11">
        <f>IF($D16&lt;&gt;"yes","",(Lines!$C$75&amp;CHAR(10)&amp;CHAR(10)&amp;Lines!$C$76&amp;CHAR(10)&amp;CHAR(10)&amp;Lines!$C$77&amp;CHAR(10)&amp;CHAR(10)&amp;Lines!$C$78))</f>
        <v/>
      </c>
      <c r="J16" s="11">
        <f>IF($D16&lt;&gt;"yes","","Complete survey")</f>
        <v/>
      </c>
      <c r="K16" s="11">
        <f>""</f>
        <v/>
      </c>
      <c r="L16" s="11">
        <f>""</f>
        <v/>
      </c>
      <c r="M16" s="11">
        <f>IF($D16&lt;&gt;"yes","",Lines!$C$79)</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IF($D17&lt;&gt;"yes","",(Lines!$C$81&amp;CHAR(10)&amp;CHAR(10)&amp;Inputs!$B$28&amp;CHAR(10)&amp;CHAR(10)&amp;Inputs!$B$46&amp;CHAR(10)&amp;CHAR(10)&amp;IF(Inputs!$B$12="draw",Lines!$C$82,Lines!$C$83)))</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Skeleton, emails</t>
        </is>
      </c>
      <c r="B5" s="10" t="inlineStr">
        <is>
          <t>Every email is: subject, preview, kicker, headline, body paragraphs, CTA, card, quote, footer. Bodies are fixed sentences from the Lines sheet with the same fragments dropped in. Halfway and 5 days to go have no body: they are image-led.</t>
        </is>
      </c>
    </row>
    <row r="6" ht="46" customHeight="1">
      <c r="A6" s="12" t="inlineStr">
        <is>
          <t>Fragments</t>
        </is>
      </c>
      <c r="B6" s="10" t="inlineStr">
        <is>
          <t>Four per release, written once: bio (2 to 3 sentences, Coming Soon only), hook (1 to 2 sentences about the work, in every post and email), making (one sentence naming Make-Ready), quote (verbatim). The hook and bio must not repeat each other.</t>
        </is>
      </c>
    </row>
    <row r="7" ht="46" customHeight="1">
      <c r="A7" s="12" t="inlineStr">
        <is>
          <t>Voice</t>
        </is>
      </c>
      <c r="B7" s="10" t="inlineStr">
        <is>
          <t>Fragments are voice-neutral: no we or our, no artist name in the hook or the making line, and 'printmakers at Make-Ready'. The sheet adds 'our'. The Insiders email and the first-time survey are signed by the advisor named on Inputs. Features never say 'our'.</t>
        </is>
      </c>
    </row>
    <row r="8" ht="46" customHeight="1">
      <c r="A8" s="12" t="inlineStr">
        <is>
          <t>Features</t>
        </is>
      </c>
      <c r="B8" s="10" t="inlineStr">
        <is>
          <t>The standard three (signed by the artist, individually numbered, free worldwide shipping) plus anything bespoke. One line of short sentences in a post, a list in an email. The beneficiary follows, named once.</t>
        </is>
      </c>
    </row>
    <row r="9" ht="46" customHeight="1">
      <c r="A9" s="12" t="inlineStr">
        <is>
          <t>Beneficiary</t>
        </is>
      </c>
      <c r="B9" s="10" t="inlineStr">
        <is>
          <t>One phrase everywhere: 'released in support of'. It goes in the opener unless the hook already names the beneficiary.</t>
        </is>
      </c>
    </row>
    <row r="10" ht="46" customHeight="1">
      <c r="A10" s="12" t="inlineStr">
        <is>
          <t>Action lines</t>
        </is>
      </c>
      <c r="B10" s="10" t="inlineStr">
        <is>
          <t>Three CTAs: get updates before launch, enter the draw for a draw, buy a print for an open window. One deadline form: Closes {date} at {time} UK time, or 'until {time} on {weekday}, {date}' in an email.</t>
        </is>
      </c>
    </row>
    <row r="11" ht="46" customHeight="1">
      <c r="A11" s="12" t="inlineStr">
        <is>
          <t>Mechanic and window</t>
        </is>
      </c>
      <c r="B11" s="10" t="inlineStr">
        <is>
          <t>Set mechanic to timed or draw and the sheet switches every line. For a timed edition, a 48-hour window gets the halfway email; a one-week window gets 5 days to go and 3 days to go.</t>
        </is>
      </c>
    </row>
    <row r="12" ht="46" customHeight="1">
      <c r="A12" s="12" t="inlineStr">
        <is>
          <t>Dates</t>
        </is>
      </c>
      <c r="B12" s="10" t="inlineStr">
        <is>
          <t>Enter launch and close once as date and time; the sheet derives '30 April', '14:00 UK time', 'Thursday' and '07 May' where each email needs them.</t>
        </is>
      </c>
    </row>
    <row r="13" ht="46" customHeight="1">
      <c r="A13" s="12" t="inlineStr">
        <is>
          <t>What stays written</t>
        </is>
      </c>
      <c r="B13" s="10" t="inlineStr">
        <is>
          <t>A delay reason, a framing paragraph, editorial deep dives, the rest of the Monthly Preview, the artist's own email, and anything for a second release.</t>
        </is>
      </c>
    </row>
    <row r="14" ht="46" customHeight="1">
      <c r="A14" s="12" t="inlineStr">
        <is>
          <t>How to use</t>
        </is>
      </c>
      <c r="B14" s="10" t="inlineStr">
        <is>
          <t>Fill the blue cells on Inputs. Read Posts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2026-09-11T16:53:08Z</dcterms:created>
  <dcterms:modified xsi:type="dcterms:W3CDTF">2026-09-11T16:53:08Z</dcterms:modified>
</cp:coreProperties>
</file>